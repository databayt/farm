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Control" sheetId="2" state="visible" r:id="rId2"/>
    <sheet name="Assumptions" sheetId="3" state="visible" r:id="rId3"/>
    <sheet name="Models" sheetId="4" state="visible" r:id="rId4"/>
    <sheet name="Curves" sheetId="5" state="visible" r:id="rId5"/>
    <sheet name="Sensitivity" sheetId="6" state="visible" r:id="rId6"/>
    <sheet name="Land" sheetId="7" state="visible" r:id="rId7"/>
    <sheet name="Trees" sheetId="8" state="visible" r:id="rId8"/>
    <sheet name="Livestock" sheetId="9" state="visible" r:id="rId9"/>
    <sheet name="Feed" sheetId="10" state="visible" r:id="rId10"/>
    <sheet name="CapEx" sheetId="11" state="visible" r:id="rId11"/>
    <sheet name="CashFlow" sheetId="12" state="visible" r:id="rId12"/>
    <sheet name="Annual" sheetId="13" state="visible" r:id="rId13"/>
    <sheet name="Metric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0;(#,##0.00);&quot;-&quot;"/>
    <numFmt numFmtId="165" formatCode="#,##0;(#,##0);&quot;-&quot;"/>
    <numFmt numFmtId="166" formatCode="0.0%;(0.0%);&quot;-&quot;"/>
    <numFmt numFmtId="167" formatCode="#,##0.0;(#,##0.0);&quot;-&quot;"/>
    <numFmt numFmtId="168" formatCode="&quot;Y&quot;0"/>
    <numFmt numFmtId="169" formatCode="&quot;M&quot;0"/>
    <numFmt numFmtId="170" formatCode="mmm yy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1" fontId="6" fillId="3" borderId="0" pivotButton="0" quotePrefix="0" xfId="0"/>
    <xf numFmtId="164" fontId="6" fillId="3" borderId="0" pivotButton="0" quotePrefix="0" xfId="0"/>
    <xf numFmtId="165" fontId="6" fillId="3" borderId="0" pivotButton="0" quotePrefix="0" xfId="0"/>
    <xf numFmtId="165" fontId="7" fillId="0" borderId="0" pivotButton="0" quotePrefix="0" xfId="0"/>
    <xf numFmtId="0" fontId="0" fillId="4" borderId="0" pivotButton="0" quotePrefix="0" xfId="0"/>
    <xf numFmtId="0" fontId="3" fillId="4" borderId="0" pivotButton="0" quotePrefix="0" xfId="0"/>
    <xf numFmtId="165" fontId="6" fillId="0" borderId="0" pivotButton="0" quotePrefix="0" xfId="0"/>
    <xf numFmtId="165" fontId="4" fillId="5" borderId="0" pivotButton="0" quotePrefix="0" xfId="0"/>
    <xf numFmtId="164" fontId="6" fillId="0" borderId="0" pivotButton="0" quotePrefix="0" xfId="0"/>
    <xf numFmtId="164" fontId="4" fillId="5" borderId="0" pivotButton="0" quotePrefix="0" xfId="0"/>
    <xf numFmtId="166" fontId="6" fillId="0" borderId="0" pivotButton="0" quotePrefix="0" xfId="0"/>
    <xf numFmtId="166" fontId="4" fillId="5" borderId="0" pivotButton="0" quotePrefix="0" xfId="0"/>
    <xf numFmtId="167" fontId="6" fillId="0" borderId="0" pivotButton="0" quotePrefix="0" xfId="0"/>
    <xf numFmtId="167" fontId="4" fillId="5" borderId="0" pivotButton="0" quotePrefix="0" xfId="0"/>
    <xf numFmtId="166" fontId="4" fillId="0" borderId="0" pivotButton="0" quotePrefix="0" xfId="0"/>
    <xf numFmtId="164" fontId="4" fillId="0" borderId="0" pivotButton="0" quotePrefix="0" xfId="0"/>
    <xf numFmtId="1" fontId="6" fillId="0" borderId="0" pivotButton="0" quotePrefix="0" xfId="0"/>
    <xf numFmtId="164" fontId="7" fillId="0" borderId="0" pivotButton="0" quotePrefix="0" xfId="0"/>
    <xf numFmtId="165" fontId="4" fillId="0" borderId="0" pivotButton="0" quotePrefix="0" xfId="0"/>
    <xf numFmtId="166" fontId="7" fillId="0" borderId="0" pivotButton="0" quotePrefix="0" xfId="0"/>
    <xf numFmtId="168" fontId="3" fillId="4" borderId="0" pivotButton="0" quotePrefix="0" xfId="0"/>
    <xf numFmtId="1" fontId="4" fillId="0" borderId="0" pivotButton="0" quotePrefix="0" xfId="0"/>
    <xf numFmtId="167" fontId="4" fillId="0" borderId="0" pivotButton="0" quotePrefix="0" xfId="0"/>
    <xf numFmtId="165" fontId="8" fillId="0" borderId="0" pivotButton="0" quotePrefix="0" xfId="0"/>
    <xf numFmtId="165" fontId="3" fillId="0" borderId="0" pivotButton="0" quotePrefix="0" xfId="0"/>
    <xf numFmtId="169" fontId="3" fillId="4" borderId="0" pivotButton="0" quotePrefix="0" xfId="0"/>
    <xf numFmtId="168" fontId="4" fillId="0" borderId="0" pivotButton="0" quotePrefix="0" xfId="0"/>
    <xf numFmtId="170" fontId="4" fillId="0" borderId="0" pivotButton="0" quotePrefix="0" xfId="0"/>
    <xf numFmtId="167" fontId="3" fillId="0" borderId="0" pivotButton="0" quotePrefix="0" xfId="0"/>
    <xf numFmtId="1" fontId="7" fillId="0" borderId="0" pivotButton="0" quotePrefix="0" xfId="0"/>
    <xf numFmtId="165" fontId="3" fillId="5" borderId="0" pivotButton="0" quotePrefix="0" xfId="0"/>
    <xf numFmtId="0" fontId="7" fillId="0" borderId="0" pivotButton="0" quotePrefix="0" xfId="0"/>
    <xf numFmtId="169" fontId="4" fillId="0" borderId="0" pivotButton="0" quotePrefix="0" xfId="0"/>
    <xf numFmtId="165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Farm financial model — structure (Stage 1)</t>
        </is>
      </c>
    </row>
    <row r="2">
      <c r="A2" s="2" t="inlineStr">
        <is>
          <t>Generated 2026-10-19 by scripts/build_financial_model.py</t>
        </is>
      </c>
    </row>
    <row r="4">
      <c r="A4" s="3" t="inlineStr">
        <is>
          <t>Status</t>
        </is>
      </c>
      <c r="B4" s="4" t="inlineStr">
        <is>
          <t>STRUCTURE AND PLACEHOLDERS. Inputs labelled A or U are placeholders, not findings. Do not quote outputs as forecasts.</t>
        </is>
      </c>
    </row>
    <row r="5">
      <c r="A5" s="3" t="inlineStr">
        <is>
          <t>Purpose</t>
        </is>
      </c>
      <c r="B5" s="4" t="inlineStr">
        <is>
          <t>Tests whether each farm model fits the founder's capital, when cash turns positive, and which assumptions matter most.</t>
        </is>
      </c>
    </row>
    <row r="6">
      <c r="A6" s="3" t="inlineStr">
        <is>
          <t>Terms</t>
        </is>
      </c>
      <c r="B6" s="4" t="inlineStr">
        <is>
          <t>Real terms (constant 2026 RWF, no inflation). Month 1 = first month of spending. A farm year = 12 model months.</t>
        </is>
      </c>
    </row>
    <row r="7">
      <c r="A7" s="3" t="inlineStr">
        <is>
          <t>How to use</t>
        </is>
      </c>
      <c r="B7" s="4" t="inlineStr">
        <is>
          <t>Pick a scenario and a farm model on Control. Edit only blue cells. Results are on Metrics; detail on Annual and CashFlow.</t>
        </is>
      </c>
    </row>
    <row r="8">
      <c r="A8" s="3" t="inlineStr">
        <is>
          <t>Legend: blue</t>
        </is>
      </c>
      <c r="B8" s="4" t="inlineStr">
        <is>
          <t>Input you may edit (Control, Assumptions, Models, Curves, Sensitivity).</t>
        </is>
      </c>
    </row>
    <row r="9">
      <c r="A9" s="3" t="inlineStr">
        <is>
          <t>Legend: black</t>
        </is>
      </c>
      <c r="B9" s="4" t="inlineStr">
        <is>
          <t>Formula. Do not overwrite.</t>
        </is>
      </c>
    </row>
    <row r="10">
      <c r="A10" s="3" t="inlineStr">
        <is>
          <t>Legend: green</t>
        </is>
      </c>
      <c r="B10" s="4" t="inlineStr">
        <is>
          <t>Direct link to another sheet.</t>
        </is>
      </c>
    </row>
    <row r="11">
      <c r="A11" s="3" t="inlineStr">
        <is>
          <t>Legend: yellow fill</t>
        </is>
      </c>
      <c r="B11" s="4" t="inlineStr">
        <is>
          <t>Key inputs to confirm with the founder.</t>
        </is>
      </c>
    </row>
    <row r="12">
      <c r="A12" s="3" t="inlineStr">
        <is>
          <t>Labels</t>
        </is>
      </c>
      <c r="B12" s="4" t="inlineStr">
        <is>
          <t>V verified (source ID) · E estimate (method shown) · A assumption · U unknown. See CLAUDE.md.</t>
        </is>
      </c>
    </row>
    <row r="13">
      <c r="A13" s="3" t="inlineStr">
        <is>
          <t>Structural constants</t>
        </is>
      </c>
      <c r="B13" s="4" t="inlineStr">
        <is>
          <t>Sale age 9 months · first-birth lag 6 months · receivable lag 1 month. Change them in the script and rebuild.</t>
        </is>
      </c>
    </row>
    <row r="14">
      <c r="A14" s="3" t="inlineStr">
        <is>
          <t>Not modelled yet</t>
        </is>
      </c>
      <c r="B14" s="4" t="inlineStr">
        <is>
          <t>Loans and interest, inflation, tax losses carried forward, terminal value of orchards, value-added processing, agritourism.</t>
        </is>
      </c>
    </row>
    <row r="15">
      <c r="A15" s="3" t="inlineStr">
        <is>
          <t>Sheets</t>
        </is>
      </c>
      <c r="B15" s="4" t="inlineStr">
        <is>
          <t>Control · Assumptions · Models · Curves · Sensitivity · Land · Trees · Livestock · Feed · CapEx · CashFlow · Annual · Metrics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6" customWidth="1" min="3" max="3"/>
    <col width="10" customWidth="1" min="4" max="4"/>
    <col width="52" customWidth="1" min="5" max="5"/>
  </cols>
  <sheetData>
    <row r="1">
      <c r="A1" s="1" t="inlineStr">
        <is>
          <t>Control</t>
        </is>
      </c>
    </row>
    <row r="2">
      <c r="A2" s="2" t="inlineStr">
        <is>
          <t>The two switches and the founder's key inputs. Blue cells only.</t>
        </is>
      </c>
    </row>
    <row r="4">
      <c r="A4" s="5" t="inlineStr">
        <is>
          <t>Key</t>
        </is>
      </c>
      <c r="B4" s="5" t="inlineStr">
        <is>
          <t>Input</t>
        </is>
      </c>
      <c r="C4" s="5" t="inlineStr">
        <is>
          <t>Value</t>
        </is>
      </c>
      <c r="D4" s="5" t="inlineStr">
        <is>
          <t>Unit</t>
        </is>
      </c>
      <c r="E4" s="5" t="inlineStr">
        <is>
          <t>Note</t>
        </is>
      </c>
    </row>
    <row r="5">
      <c r="A5" s="2" t="inlineStr">
        <is>
          <t>scenario</t>
        </is>
      </c>
      <c r="B5" s="6" t="inlineStr">
        <is>
          <t>Scenario (1 downside · 2 base · 3 upside)</t>
        </is>
      </c>
      <c r="C5" s="7" t="n">
        <v>2</v>
      </c>
      <c r="D5" s="2" t="inlineStr">
        <is>
          <t>index</t>
        </is>
      </c>
      <c r="E5" s="2" t="inlineStr">
        <is>
          <t>Drives every Assumptions row</t>
        </is>
      </c>
    </row>
    <row r="6">
      <c r="A6" s="2" t="inlineStr">
        <is>
          <t>model</t>
        </is>
      </c>
      <c r="B6" s="6" t="inlineStr">
        <is>
          <t>Farm model (1 M1 · 2 M2 · 3 M3)</t>
        </is>
      </c>
      <c r="C6" s="7" t="n">
        <v>1</v>
      </c>
      <c r="D6" s="2" t="inlineStr">
        <is>
          <t>index</t>
        </is>
      </c>
      <c r="E6" s="2" t="inlineStr">
        <is>
          <t>Drives every Models row</t>
        </is>
      </c>
    </row>
    <row r="7">
      <c r="A7" s="2" t="inlineStr">
        <is>
          <t>area</t>
        </is>
      </c>
      <c r="B7" s="6" t="inlineStr">
        <is>
          <t>Total farm area</t>
        </is>
      </c>
      <c r="C7" s="8" t="n">
        <v>5</v>
      </c>
      <c r="D7" s="2" t="inlineStr">
        <is>
          <t>ha</t>
        </is>
      </c>
      <c r="E7" s="2" t="inlineStr">
        <is>
          <t>[A] founder: 2–10 ha; base 5 ha until surveyed</t>
        </is>
      </c>
    </row>
    <row r="8">
      <c r="A8" s="2" t="inlineStr">
        <is>
          <t>capital</t>
        </is>
      </c>
      <c r="B8" s="6" t="inlineStr">
        <is>
          <t>Capital available, years 1–2</t>
        </is>
      </c>
      <c r="C8" s="9" t="n">
        <v>35000000</v>
      </c>
      <c r="D8" s="2" t="inlineStr">
        <is>
          <t>RWF</t>
        </is>
      </c>
      <c r="E8" s="2" t="inlineStr">
        <is>
          <t>[A] founder: under USD 25k</t>
        </is>
      </c>
    </row>
    <row r="9">
      <c r="A9" s="2" t="inlineStr">
        <is>
          <t>start_year</t>
        </is>
      </c>
      <c r="B9" s="6" t="inlineStr">
        <is>
          <t>Model start year</t>
        </is>
      </c>
      <c r="C9" s="7" t="n">
        <v>2026</v>
      </c>
      <c r="D9" s="2" t="inlineStr">
        <is>
          <t>year</t>
        </is>
      </c>
      <c r="E9" s="2" t="inlineStr">
        <is>
          <t>Month 1 = first month of spending</t>
        </is>
      </c>
    </row>
    <row r="10">
      <c r="A10" s="2" t="inlineStr">
        <is>
          <t>start_month</t>
        </is>
      </c>
      <c r="B10" s="6" t="inlineStr">
        <is>
          <t>Model start month (1–12)</t>
        </is>
      </c>
      <c r="C10" s="7" t="n">
        <v>11</v>
      </c>
      <c r="D10" s="2" t="inlineStr">
        <is>
          <t>month</t>
        </is>
      </c>
      <c r="E10" s="2" t="inlineStr">
        <is>
          <t>11 = November</t>
        </is>
      </c>
    </row>
    <row r="11">
      <c r="A11" s="2" t="inlineStr">
        <is>
          <t>plant_m</t>
        </is>
      </c>
      <c r="B11" s="6" t="inlineStr">
        <is>
          <t>Tree planting month (model month #)</t>
        </is>
      </c>
      <c r="C11" s="7" t="n">
        <v>5</v>
      </c>
      <c r="D11" s="2" t="inlineStr">
        <is>
          <t>month #</t>
        </is>
      </c>
      <c r="E11" s="2" t="inlineStr">
        <is>
          <t>[A] 5 = March 2027, Season B onset</t>
        </is>
      </c>
    </row>
    <row r="12">
      <c r="A12" s="2" t="inlineStr">
        <is>
          <t>past_m</t>
        </is>
      </c>
      <c r="B12" s="6" t="inlineStr">
        <is>
          <t>Pasture/fodder planting month (model month #)</t>
        </is>
      </c>
      <c r="C12" s="7" t="n">
        <v>5</v>
      </c>
      <c r="D12" s="2" t="inlineStr">
        <is>
          <t>month #</t>
        </is>
      </c>
      <c r="E12" s="2" t="inlineStr">
        <is>
          <t>[A] same rains as trees</t>
        </is>
      </c>
    </row>
    <row r="14">
      <c r="B14" s="3" t="inlineStr">
        <is>
          <t>Selected scenario</t>
        </is>
      </c>
      <c r="C14" s="6">
        <f>CHOOSE(Control!$C$5,"Downside","Base","Upside")</f>
        <v/>
      </c>
    </row>
    <row r="15">
      <c r="B15" s="3" t="inlineStr">
        <is>
          <t>Selected farm model</t>
        </is>
      </c>
      <c r="C15" s="6">
        <f>CHOOSE(Control!$C$6,"M1 Conservative mixed","M2 Diversified commercial","M3 Tech-enabled integrated")</f>
        <v/>
      </c>
    </row>
    <row r="16">
      <c r="B16" s="3" t="inlineStr">
        <is>
          <t>Capital available in USD (at the Assumptions rate)</t>
        </is>
      </c>
      <c r="C16" s="10">
        <f>Control!$C$8/Assumptions!$H$6</f>
        <v/>
      </c>
    </row>
  </sheetData>
  <dataValidations count="2">
    <dataValidation sqref="C5 C6" showDropDown="0" showInputMessage="0" showErrorMessage="0" allowBlank="0" type="whole" operator="between">
      <formula1>1</formula1>
      <formula2>3</formula2>
    </dataValidation>
    <dataValidation sqref="C10" showDropDown="0" showInputMessage="0" showErrorMessage="0" allowBlank="0" type="whole" operator="between">
      <formula1>1</formula1>
      <formula2>12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2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46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7" customWidth="1" min="9" max="9"/>
    <col width="36" customWidth="1" min="10" max="10"/>
    <col width="44" customWidth="1" min="11" max="11"/>
  </cols>
  <sheetData>
    <row r="1">
      <c r="A1" s="1" t="inlineStr">
        <is>
          <t>Assumptions</t>
        </is>
      </c>
    </row>
    <row r="2">
      <c r="A2" s="2" t="inlineStr">
        <is>
          <t>Uncertain inputs with downside / base / upside values. Selected = the value for the scenario chosen on Control.</t>
        </is>
      </c>
    </row>
    <row r="4">
      <c r="A4" s="5" t="inlineStr">
        <is>
          <t>ID</t>
        </is>
      </c>
      <c r="B4" s="5" t="inlineStr">
        <is>
          <t>Group</t>
        </is>
      </c>
      <c r="C4" s="5" t="inlineStr">
        <is>
          <t>Parameter</t>
        </is>
      </c>
      <c r="D4" s="5" t="inlineStr">
        <is>
          <t>Unit</t>
        </is>
      </c>
      <c r="E4" s="5" t="inlineStr">
        <is>
          <t>Downside</t>
        </is>
      </c>
      <c r="F4" s="5" t="inlineStr">
        <is>
          <t>Base</t>
        </is>
      </c>
      <c r="G4" s="5" t="inlineStr">
        <is>
          <t>Upside</t>
        </is>
      </c>
      <c r="H4" s="5" t="inlineStr">
        <is>
          <t>Selected</t>
        </is>
      </c>
      <c r="I4" s="5" t="inlineStr">
        <is>
          <t>Label</t>
        </is>
      </c>
      <c r="J4" s="5" t="inlineStr">
        <is>
          <t>Source</t>
        </is>
      </c>
      <c r="K4" s="5" t="inlineStr">
        <is>
          <t>Notes</t>
        </is>
      </c>
    </row>
    <row r="5">
      <c r="A5" s="11" t="n"/>
      <c r="B5" s="12" t="inlineStr">
        <is>
          <t>General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</row>
    <row r="6">
      <c r="A6" s="2" t="inlineStr">
        <is>
          <t>FX</t>
        </is>
      </c>
      <c r="B6" s="2" t="inlineStr">
        <is>
          <t>General</t>
        </is>
      </c>
      <c r="C6" s="6" t="inlineStr">
        <is>
          <t>Exchange rate</t>
        </is>
      </c>
      <c r="D6" s="2" t="inlineStr">
        <is>
          <t>RWF per USD</t>
        </is>
      </c>
      <c r="E6" s="13" t="n">
        <v>1470</v>
      </c>
      <c r="F6" s="13" t="n">
        <v>1470</v>
      </c>
      <c r="G6" s="13" t="n">
        <v>1470</v>
      </c>
      <c r="H6" s="14">
        <f>CHOOSE(Control!$C$5,E6,F6,G6)</f>
        <v/>
      </c>
      <c r="I6" s="3" t="inlineStr">
        <is>
          <t>A</t>
        </is>
      </c>
      <c r="J6" s="2" t="inlineStr">
        <is>
          <t>placeholder — pending Stage 1 research</t>
        </is>
      </c>
      <c r="K6" s="2" t="inlineStr">
        <is>
          <t>Verify against the BNR reference rate</t>
        </is>
      </c>
    </row>
    <row r="7">
      <c r="A7" s="2" t="inlineStr">
        <is>
          <t>DR</t>
        </is>
      </c>
      <c r="B7" s="2" t="inlineStr">
        <is>
          <t>General</t>
        </is>
      </c>
      <c r="C7" s="6" t="inlineStr">
        <is>
          <t>Real discount rate</t>
        </is>
      </c>
      <c r="D7" s="2" t="inlineStr">
        <is>
          <t>per year</t>
        </is>
      </c>
      <c r="E7" s="15" t="n">
        <v>0.14</v>
      </c>
      <c r="F7" s="15" t="n">
        <v>0.12</v>
      </c>
      <c r="G7" s="15" t="n">
        <v>0.1</v>
      </c>
      <c r="H7" s="16">
        <f>CHOOSE(Control!$C$5,E7,F7,G7)</f>
        <v/>
      </c>
      <c r="I7" s="3" t="inlineStr">
        <is>
          <t>A</t>
        </is>
      </c>
      <c r="J7" s="2" t="inlineStr">
        <is>
          <t>judgement</t>
        </is>
      </c>
      <c r="K7" s="2" t="inlineStr">
        <is>
          <t>Real terms: the model is in constant 2026 RWF</t>
        </is>
      </c>
    </row>
    <row r="8">
      <c r="A8" s="2" t="inlineStr">
        <is>
          <t>TAX</t>
        </is>
      </c>
      <c r="B8" s="2" t="inlineStr">
        <is>
          <t>General</t>
        </is>
      </c>
      <c r="C8" s="6" t="inlineStr">
        <is>
          <t>Income tax rate on profit</t>
        </is>
      </c>
      <c r="D8" s="2" t="inlineStr">
        <is>
          <t>share</t>
        </is>
      </c>
      <c r="E8" s="17" t="n">
        <v>0.28</v>
      </c>
      <c r="F8" s="17" t="n">
        <v>0.28</v>
      </c>
      <c r="G8" s="17" t="n">
        <v>0.28</v>
      </c>
      <c r="H8" s="18">
        <f>CHOOSE(Control!$C$5,E8,F8,G8)</f>
        <v/>
      </c>
      <c r="I8" s="3" t="inlineStr">
        <is>
          <t>U</t>
        </is>
      </c>
      <c r="J8" s="2" t="inlineStr">
        <is>
          <t>placeholder — pending Stage 1 research</t>
        </is>
      </c>
      <c r="K8" s="2" t="inlineStr">
        <is>
          <t>Confirm agricultural income treatment with RRA</t>
        </is>
      </c>
    </row>
    <row r="9">
      <c r="A9" s="2" t="inlineStr">
        <is>
          <t>CREDIT</t>
        </is>
      </c>
      <c r="B9" s="2" t="inlineStr">
        <is>
          <t>General</t>
        </is>
      </c>
      <c r="C9" s="6" t="inlineStr">
        <is>
          <t>Share of sales on credit</t>
        </is>
      </c>
      <c r="D9" s="2" t="inlineStr">
        <is>
          <t>share</t>
        </is>
      </c>
      <c r="E9" s="17" t="n">
        <v>0.6</v>
      </c>
      <c r="F9" s="17" t="n">
        <v>0.5</v>
      </c>
      <c r="G9" s="17" t="n">
        <v>0.3</v>
      </c>
      <c r="H9" s="18">
        <f>CHOOSE(Control!$C$5,E9,F9,G9)</f>
        <v/>
      </c>
      <c r="I9" s="3" t="inlineStr">
        <is>
          <t>A</t>
        </is>
      </c>
      <c r="J9" s="2" t="inlineStr">
        <is>
          <t>judgement</t>
        </is>
      </c>
      <c r="K9" s="2" t="inlineStr">
        <is>
          <t>Collected 1 month later</t>
        </is>
      </c>
    </row>
    <row r="10">
      <c r="A10" s="2" t="inlineStr">
        <is>
          <t>CONT</t>
        </is>
      </c>
      <c r="B10" s="2" t="inlineStr">
        <is>
          <t>General</t>
        </is>
      </c>
      <c r="C10" s="6" t="inlineStr">
        <is>
          <t>Capex contingency</t>
        </is>
      </c>
      <c r="D10" s="2" t="inlineStr">
        <is>
          <t>share of capex</t>
        </is>
      </c>
      <c r="E10" s="17" t="n">
        <v>0.15</v>
      </c>
      <c r="F10" s="17" t="n">
        <v>0.1</v>
      </c>
      <c r="G10" s="17" t="n">
        <v>0.08</v>
      </c>
      <c r="H10" s="18">
        <f>CHOOSE(Control!$C$5,E10,F10,G10)</f>
        <v/>
      </c>
      <c r="I10" s="3" t="inlineStr">
        <is>
          <t>A</t>
        </is>
      </c>
      <c r="J10" s="2" t="inlineStr">
        <is>
          <t>judgement</t>
        </is>
      </c>
      <c r="K10" s="2" t="inlineStr"/>
    </row>
    <row r="11">
      <c r="A11" s="2" t="inlineStr">
        <is>
          <t>MKTG</t>
        </is>
      </c>
      <c r="B11" s="2" t="inlineStr">
        <is>
          <t>General</t>
        </is>
      </c>
      <c r="C11" s="6" t="inlineStr">
        <is>
          <t>Marketing and sales cost</t>
        </is>
      </c>
      <c r="D11" s="2" t="inlineStr">
        <is>
          <t>share of sales</t>
        </is>
      </c>
      <c r="E11" s="17" t="n">
        <v>0.03</v>
      </c>
      <c r="F11" s="17" t="n">
        <v>0.02</v>
      </c>
      <c r="G11" s="17" t="n">
        <v>0.02</v>
      </c>
      <c r="H11" s="18">
        <f>CHOOSE(Control!$C$5,E11,F11,G11)</f>
        <v/>
      </c>
      <c r="I11" s="3" t="inlineStr">
        <is>
          <t>A</t>
        </is>
      </c>
      <c r="J11" s="2" t="inlineStr">
        <is>
          <t>judgement</t>
        </is>
      </c>
      <c r="K11" s="2" t="inlineStr"/>
    </row>
    <row r="12">
      <c r="A12" s="2" t="inlineStr">
        <is>
          <t>RM</t>
        </is>
      </c>
      <c r="B12" s="2" t="inlineStr">
        <is>
          <t>General</t>
        </is>
      </c>
      <c r="C12" s="6" t="inlineStr">
        <is>
          <t>Repairs and maintenance</t>
        </is>
      </c>
      <c r="D12" s="2" t="inlineStr">
        <is>
          <t>share of capex per yr</t>
        </is>
      </c>
      <c r="E12" s="17" t="n">
        <v>0.05</v>
      </c>
      <c r="F12" s="17" t="n">
        <v>0.04</v>
      </c>
      <c r="G12" s="17" t="n">
        <v>0.03</v>
      </c>
      <c r="H12" s="18">
        <f>CHOOSE(Control!$C$5,E12,F12,G12)</f>
        <v/>
      </c>
      <c r="I12" s="3" t="inlineStr">
        <is>
          <t>A</t>
        </is>
      </c>
      <c r="J12" s="2" t="inlineStr">
        <is>
          <t>judgement</t>
        </is>
      </c>
      <c r="K12" s="2" t="inlineStr"/>
    </row>
    <row r="13">
      <c r="A13" s="11" t="n"/>
      <c r="B13" s="12" t="inlineStr">
        <is>
          <t>Labour</t>
        </is>
      </c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</row>
    <row r="14">
      <c r="A14" s="2" t="inlineStr">
        <is>
          <t>WAGE</t>
        </is>
      </c>
      <c r="B14" s="2" t="inlineStr">
        <is>
          <t>Labour</t>
        </is>
      </c>
      <c r="C14" s="6" t="inlineStr">
        <is>
          <t>Permanent worker wage</t>
        </is>
      </c>
      <c r="D14" s="2" t="inlineStr">
        <is>
          <t>RWF per month</t>
        </is>
      </c>
      <c r="E14" s="13" t="n">
        <v>60000</v>
      </c>
      <c r="F14" s="13" t="n">
        <v>50000</v>
      </c>
      <c r="G14" s="13" t="n">
        <v>45000</v>
      </c>
      <c r="H14" s="14">
        <f>CHOOSE(Control!$C$5,E14,F14,G14)</f>
        <v/>
      </c>
      <c r="I14" s="3" t="inlineStr">
        <is>
          <t>A</t>
        </is>
      </c>
      <c r="J14" s="2" t="inlineStr">
        <is>
          <t>placeholder — pending Stage 1 research</t>
        </is>
      </c>
      <c r="K14" s="2" t="inlineStr"/>
    </row>
    <row r="15">
      <c r="A15" s="2" t="inlineStr">
        <is>
          <t>DAYWAGE</t>
        </is>
      </c>
      <c r="B15" s="2" t="inlineStr">
        <is>
          <t>Labour</t>
        </is>
      </c>
      <c r="C15" s="6" t="inlineStr">
        <is>
          <t>Casual labour wage</t>
        </is>
      </c>
      <c r="D15" s="2" t="inlineStr">
        <is>
          <t>RWF per day</t>
        </is>
      </c>
      <c r="E15" s="13" t="n">
        <v>2500</v>
      </c>
      <c r="F15" s="13" t="n">
        <v>2000</v>
      </c>
      <c r="G15" s="13" t="n">
        <v>1800</v>
      </c>
      <c r="H15" s="14">
        <f>CHOOSE(Control!$C$5,E15,F15,G15)</f>
        <v/>
      </c>
      <c r="I15" s="3" t="inlineStr">
        <is>
          <t>A</t>
        </is>
      </c>
      <c r="J15" s="2" t="inlineStr">
        <is>
          <t>placeholder — pending Stage 1 research</t>
        </is>
      </c>
      <c r="K15" s="2" t="inlineStr"/>
    </row>
    <row r="16">
      <c r="A16" s="2" t="inlineStr">
        <is>
          <t>DAYS_HA</t>
        </is>
      </c>
      <c r="B16" s="2" t="inlineStr">
        <is>
          <t>Labour</t>
        </is>
      </c>
      <c r="C16" s="6" t="inlineStr">
        <is>
          <t>Casual labour in orchard</t>
        </is>
      </c>
      <c r="D16" s="2" t="inlineStr">
        <is>
          <t>days per ha per yr</t>
        </is>
      </c>
      <c r="E16" s="13" t="n">
        <v>120</v>
      </c>
      <c r="F16" s="13" t="n">
        <v>100</v>
      </c>
      <c r="G16" s="13" t="n">
        <v>80</v>
      </c>
      <c r="H16" s="14">
        <f>CHOOSE(Control!$C$5,E16,F16,G16)</f>
        <v/>
      </c>
      <c r="I16" s="3" t="inlineStr">
        <is>
          <t>A</t>
        </is>
      </c>
      <c r="J16" s="2" t="inlineStr">
        <is>
          <t>placeholder — pending Stage 1 research</t>
        </is>
      </c>
      <c r="K16" s="2" t="inlineStr"/>
    </row>
    <row r="17">
      <c r="A17" s="11" t="n"/>
      <c r="B17" s="12" t="inlineStr">
        <is>
          <t>Capital costs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</row>
    <row r="18">
      <c r="A18" s="2" t="inlineStr">
        <is>
          <t>FENCE</t>
        </is>
      </c>
      <c r="B18" s="2" t="inlineStr">
        <is>
          <t>Capital costs</t>
        </is>
      </c>
      <c r="C18" s="6" t="inlineStr">
        <is>
          <t>Perimeter fence</t>
        </is>
      </c>
      <c r="D18" s="2" t="inlineStr">
        <is>
          <t>RWF per m</t>
        </is>
      </c>
      <c r="E18" s="13" t="n">
        <v>6000</v>
      </c>
      <c r="F18" s="13" t="n">
        <v>5000</v>
      </c>
      <c r="G18" s="13" t="n">
        <v>4000</v>
      </c>
      <c r="H18" s="14">
        <f>CHOOSE(Control!$C$5,E18,F18,G18)</f>
        <v/>
      </c>
      <c r="I18" s="3" t="inlineStr">
        <is>
          <t>A</t>
        </is>
      </c>
      <c r="J18" s="2" t="inlineStr">
        <is>
          <t>placeholder — pending Stage 1 research</t>
        </is>
      </c>
      <c r="K18" s="2" t="inlineStr"/>
    </row>
    <row r="19">
      <c r="A19" s="2" t="inlineStr">
        <is>
          <t>IFENCE</t>
        </is>
      </c>
      <c r="B19" s="2" t="inlineStr">
        <is>
          <t>Capital costs</t>
        </is>
      </c>
      <c r="C19" s="6" t="inlineStr">
        <is>
          <t>Internal paddock fence</t>
        </is>
      </c>
      <c r="D19" s="2" t="inlineStr">
        <is>
          <t>RWF per m</t>
        </is>
      </c>
      <c r="E19" s="13" t="n">
        <v>3500</v>
      </c>
      <c r="F19" s="13" t="n">
        <v>3000</v>
      </c>
      <c r="G19" s="13" t="n">
        <v>2500</v>
      </c>
      <c r="H19" s="14">
        <f>CHOOSE(Control!$C$5,E19,F19,G19)</f>
        <v/>
      </c>
      <c r="I19" s="3" t="inlineStr">
        <is>
          <t>A</t>
        </is>
      </c>
      <c r="J19" s="2" t="inlineStr">
        <is>
          <t>placeholder — pending Stage 1 research</t>
        </is>
      </c>
      <c r="K19" s="2" t="inlineStr"/>
    </row>
    <row r="20">
      <c r="A20" s="2" t="inlineStr">
        <is>
          <t>GATE</t>
        </is>
      </c>
      <c r="B20" s="2" t="inlineStr">
        <is>
          <t>Capital costs</t>
        </is>
      </c>
      <c r="C20" s="6" t="inlineStr">
        <is>
          <t>Gate</t>
        </is>
      </c>
      <c r="D20" s="2" t="inlineStr">
        <is>
          <t>RWF each</t>
        </is>
      </c>
      <c r="E20" s="13" t="n">
        <v>250000</v>
      </c>
      <c r="F20" s="13" t="n">
        <v>200000</v>
      </c>
      <c r="G20" s="13" t="n">
        <v>150000</v>
      </c>
      <c r="H20" s="14">
        <f>CHOOSE(Control!$C$5,E20,F20,G20)</f>
        <v/>
      </c>
      <c r="I20" s="3" t="inlineStr">
        <is>
          <t>A</t>
        </is>
      </c>
      <c r="J20" s="2" t="inlineStr">
        <is>
          <t>placeholder — pending Stage 1 research</t>
        </is>
      </c>
      <c r="K20" s="2" t="inlineStr"/>
    </row>
    <row r="21">
      <c r="A21" s="2" t="inlineStr">
        <is>
          <t>TANK</t>
        </is>
      </c>
      <c r="B21" s="2" t="inlineStr">
        <is>
          <t>Capital costs</t>
        </is>
      </c>
      <c r="C21" s="6" t="inlineStr">
        <is>
          <t>Water storage</t>
        </is>
      </c>
      <c r="D21" s="2" t="inlineStr">
        <is>
          <t>RWF per m3</t>
        </is>
      </c>
      <c r="E21" s="13" t="n">
        <v>120000</v>
      </c>
      <c r="F21" s="13" t="n">
        <v>100000</v>
      </c>
      <c r="G21" s="13" t="n">
        <v>90000</v>
      </c>
      <c r="H21" s="14">
        <f>CHOOSE(Control!$C$5,E21,F21,G21)</f>
        <v/>
      </c>
      <c r="I21" s="3" t="inlineStr">
        <is>
          <t>A</t>
        </is>
      </c>
      <c r="J21" s="2" t="inlineStr">
        <is>
          <t>placeholder — pending Stage 1 research</t>
        </is>
      </c>
      <c r="K21" s="2" t="inlineStr"/>
    </row>
    <row r="22">
      <c r="A22" s="2" t="inlineStr">
        <is>
          <t>GUTTER</t>
        </is>
      </c>
      <c r="B22" s="2" t="inlineStr">
        <is>
          <t>Capital costs</t>
        </is>
      </c>
      <c r="C22" s="6" t="inlineStr">
        <is>
          <t>Rainwater harvesting fittings</t>
        </is>
      </c>
      <c r="D22" s="2" t="inlineStr">
        <is>
          <t>RWF lump</t>
        </is>
      </c>
      <c r="E22" s="13" t="n">
        <v>400000</v>
      </c>
      <c r="F22" s="13" t="n">
        <v>300000</v>
      </c>
      <c r="G22" s="13" t="n">
        <v>250000</v>
      </c>
      <c r="H22" s="14">
        <f>CHOOSE(Control!$C$5,E22,F22,G22)</f>
        <v/>
      </c>
      <c r="I22" s="3" t="inlineStr">
        <is>
          <t>A</t>
        </is>
      </c>
      <c r="J22" s="2" t="inlineStr">
        <is>
          <t>placeholder — pending Stage 1 research</t>
        </is>
      </c>
      <c r="K22" s="2" t="inlineStr"/>
    </row>
    <row r="23">
      <c r="A23" s="2" t="inlineStr">
        <is>
          <t>BORE</t>
        </is>
      </c>
      <c r="B23" s="2" t="inlineStr">
        <is>
          <t>Capital costs</t>
        </is>
      </c>
      <c r="C23" s="6" t="inlineStr">
        <is>
          <t>Borehole (if legal and viable)</t>
        </is>
      </c>
      <c r="D23" s="2" t="inlineStr">
        <is>
          <t>RWF lump</t>
        </is>
      </c>
      <c r="E23" s="13" t="n">
        <v>12000000</v>
      </c>
      <c r="F23" s="13" t="n">
        <v>9000000</v>
      </c>
      <c r="G23" s="13" t="n">
        <v>7000000</v>
      </c>
      <c r="H23" s="14">
        <f>CHOOSE(Control!$C$5,E23,F23,G23)</f>
        <v/>
      </c>
      <c r="I23" s="3" t="inlineStr">
        <is>
          <t>U</t>
        </is>
      </c>
      <c r="J23" s="2" t="inlineStr">
        <is>
          <t>placeholder — pending Stage 1 research</t>
        </is>
      </c>
      <c r="K23" s="2" t="inlineStr">
        <is>
          <t>Hydrogeology and permit unknown</t>
        </is>
      </c>
    </row>
    <row r="24">
      <c r="A24" s="2" t="inlineStr">
        <is>
          <t>PUMP</t>
        </is>
      </c>
      <c r="B24" s="2" t="inlineStr">
        <is>
          <t>Capital costs</t>
        </is>
      </c>
      <c r="C24" s="6" t="inlineStr">
        <is>
          <t>Solar pump system</t>
        </is>
      </c>
      <c r="D24" s="2" t="inlineStr">
        <is>
          <t>RWF lump</t>
        </is>
      </c>
      <c r="E24" s="13" t="n">
        <v>4500000</v>
      </c>
      <c r="F24" s="13" t="n">
        <v>3500000</v>
      </c>
      <c r="G24" s="13" t="n">
        <v>3000000</v>
      </c>
      <c r="H24" s="14">
        <f>CHOOSE(Control!$C$5,E24,F24,G24)</f>
        <v/>
      </c>
      <c r="I24" s="3" t="inlineStr">
        <is>
          <t>A</t>
        </is>
      </c>
      <c r="J24" s="2" t="inlineStr">
        <is>
          <t>placeholder — pending Stage 1 research</t>
        </is>
      </c>
      <c r="K24" s="2" t="inlineStr"/>
    </row>
    <row r="25">
      <c r="A25" s="2" t="inlineStr">
        <is>
          <t>DRIP</t>
        </is>
      </c>
      <c r="B25" s="2" t="inlineStr">
        <is>
          <t>Capital costs</t>
        </is>
      </c>
      <c r="C25" s="6" t="inlineStr">
        <is>
          <t>Drip irrigation</t>
        </is>
      </c>
      <c r="D25" s="2" t="inlineStr">
        <is>
          <t>RWF per ha</t>
        </is>
      </c>
      <c r="E25" s="13" t="n">
        <v>4500000</v>
      </c>
      <c r="F25" s="13" t="n">
        <v>3500000</v>
      </c>
      <c r="G25" s="13" t="n">
        <v>3000000</v>
      </c>
      <c r="H25" s="14">
        <f>CHOOSE(Control!$C$5,E25,F25,G25)</f>
        <v/>
      </c>
      <c r="I25" s="3" t="inlineStr">
        <is>
          <t>A</t>
        </is>
      </c>
      <c r="J25" s="2" t="inlineStr">
        <is>
          <t>placeholder — pending Stage 1 research</t>
        </is>
      </c>
      <c r="K25" s="2" t="inlineStr"/>
    </row>
    <row r="26">
      <c r="A26" s="2" t="inlineStr">
        <is>
          <t>PAST_EST</t>
        </is>
      </c>
      <c r="B26" s="2" t="inlineStr">
        <is>
          <t>Capital costs</t>
        </is>
      </c>
      <c r="C26" s="6" t="inlineStr">
        <is>
          <t>Pasture establishment</t>
        </is>
      </c>
      <c r="D26" s="2" t="inlineStr">
        <is>
          <t>RWF per ha</t>
        </is>
      </c>
      <c r="E26" s="13" t="n">
        <v>600000</v>
      </c>
      <c r="F26" s="13" t="n">
        <v>450000</v>
      </c>
      <c r="G26" s="13" t="n">
        <v>350000</v>
      </c>
      <c r="H26" s="14">
        <f>CHOOSE(Control!$C$5,E26,F26,G26)</f>
        <v/>
      </c>
      <c r="I26" s="3" t="inlineStr">
        <is>
          <t>A</t>
        </is>
      </c>
      <c r="J26" s="2" t="inlineStr">
        <is>
          <t>placeholder — pending Stage 1 research</t>
        </is>
      </c>
      <c r="K26" s="2" t="inlineStr"/>
    </row>
    <row r="27">
      <c r="A27" s="2" t="inlineStr">
        <is>
          <t>FOD_EST</t>
        </is>
      </c>
      <c r="B27" s="2" t="inlineStr">
        <is>
          <t>Capital costs</t>
        </is>
      </c>
      <c r="C27" s="6" t="inlineStr">
        <is>
          <t>Fodder bank establishment</t>
        </is>
      </c>
      <c r="D27" s="2" t="inlineStr">
        <is>
          <t>RWF per ha</t>
        </is>
      </c>
      <c r="E27" s="13" t="n">
        <v>900000</v>
      </c>
      <c r="F27" s="13" t="n">
        <v>700000</v>
      </c>
      <c r="G27" s="13" t="n">
        <v>550000</v>
      </c>
      <c r="H27" s="14">
        <f>CHOOSE(Control!$C$5,E27,F27,G27)</f>
        <v/>
      </c>
      <c r="I27" s="3" t="inlineStr">
        <is>
          <t>A</t>
        </is>
      </c>
      <c r="J27" s="2" t="inlineStr">
        <is>
          <t>placeholder — pending Stage 1 research</t>
        </is>
      </c>
      <c r="K27" s="2" t="inlineStr"/>
    </row>
    <row r="28">
      <c r="A28" s="2" t="inlineStr">
        <is>
          <t>HOUSE</t>
        </is>
      </c>
      <c r="B28" s="2" t="inlineStr">
        <is>
          <t>Capital costs</t>
        </is>
      </c>
      <c r="C28" s="6" t="inlineStr">
        <is>
          <t>Animal house</t>
        </is>
      </c>
      <c r="D28" s="2" t="inlineStr">
        <is>
          <t>RWF per m2</t>
        </is>
      </c>
      <c r="E28" s="13" t="n">
        <v>60000</v>
      </c>
      <c r="F28" s="13" t="n">
        <v>45000</v>
      </c>
      <c r="G28" s="13" t="n">
        <v>35000</v>
      </c>
      <c r="H28" s="14">
        <f>CHOOSE(Control!$C$5,E28,F28,G28)</f>
        <v/>
      </c>
      <c r="I28" s="3" t="inlineStr">
        <is>
          <t>A</t>
        </is>
      </c>
      <c r="J28" s="2" t="inlineStr">
        <is>
          <t>placeholder — pending Stage 1 research</t>
        </is>
      </c>
      <c r="K28" s="2" t="inlineStr"/>
    </row>
    <row r="29">
      <c r="A29" s="2" t="inlineStr">
        <is>
          <t>M2HEAD</t>
        </is>
      </c>
      <c r="B29" s="2" t="inlineStr">
        <is>
          <t>Capital costs</t>
        </is>
      </c>
      <c r="C29" s="6" t="inlineStr">
        <is>
          <t>House floor area per adult animal</t>
        </is>
      </c>
      <c r="D29" s="2" t="inlineStr">
        <is>
          <t>m2 per head</t>
        </is>
      </c>
      <c r="E29" s="15" t="n">
        <v>1.5</v>
      </c>
      <c r="F29" s="15" t="n">
        <v>1.2</v>
      </c>
      <c r="G29" s="15" t="n">
        <v>1</v>
      </c>
      <c r="H29" s="16">
        <f>CHOOSE(Control!$C$5,E29,F29,G29)</f>
        <v/>
      </c>
      <c r="I29" s="3" t="inlineStr">
        <is>
          <t>A</t>
        </is>
      </c>
      <c r="J29" s="2" t="inlineStr">
        <is>
          <t>placeholder — pending Stage 1 research</t>
        </is>
      </c>
      <c r="K29" s="2" t="inlineStr"/>
    </row>
    <row r="30">
      <c r="A30" s="2" t="inlineStr">
        <is>
          <t>QUAR</t>
        </is>
      </c>
      <c r="B30" s="2" t="inlineStr">
        <is>
          <t>Capital costs</t>
        </is>
      </c>
      <c r="C30" s="6" t="inlineStr">
        <is>
          <t>Quarantine pen and handling race</t>
        </is>
      </c>
      <c r="D30" s="2" t="inlineStr">
        <is>
          <t>RWF lump</t>
        </is>
      </c>
      <c r="E30" s="13" t="n">
        <v>800000</v>
      </c>
      <c r="F30" s="13" t="n">
        <v>600000</v>
      </c>
      <c r="G30" s="13" t="n">
        <v>500000</v>
      </c>
      <c r="H30" s="14">
        <f>CHOOSE(Control!$C$5,E30,F30,G30)</f>
        <v/>
      </c>
      <c r="I30" s="3" t="inlineStr">
        <is>
          <t>A</t>
        </is>
      </c>
      <c r="J30" s="2" t="inlineStr">
        <is>
          <t>placeholder — pending Stage 1 research</t>
        </is>
      </c>
      <c r="K30" s="2" t="inlineStr"/>
    </row>
    <row r="31">
      <c r="A31" s="2" t="inlineStr">
        <is>
          <t>SOIL</t>
        </is>
      </c>
      <c r="B31" s="2" t="inlineStr">
        <is>
          <t>Capital costs</t>
        </is>
      </c>
      <c r="C31" s="6" t="inlineStr">
        <is>
          <t>Soil test</t>
        </is>
      </c>
      <c r="D31" s="2" t="inlineStr">
        <is>
          <t>RWF per sample</t>
        </is>
      </c>
      <c r="E31" s="13" t="n">
        <v>40000</v>
      </c>
      <c r="F31" s="13" t="n">
        <v>30000</v>
      </c>
      <c r="G31" s="13" t="n">
        <v>25000</v>
      </c>
      <c r="H31" s="14">
        <f>CHOOSE(Control!$C$5,E31,F31,G31)</f>
        <v/>
      </c>
      <c r="I31" s="3" t="inlineStr">
        <is>
          <t>U</t>
        </is>
      </c>
      <c r="J31" s="2" t="inlineStr">
        <is>
          <t>placeholder — pending Stage 1 research</t>
        </is>
      </c>
      <c r="K31" s="2" t="inlineStr">
        <is>
          <t>Get lab quotes</t>
        </is>
      </c>
    </row>
    <row r="32">
      <c r="A32" s="2" t="inlineStr">
        <is>
          <t>WATER</t>
        </is>
      </c>
      <c r="B32" s="2" t="inlineStr">
        <is>
          <t>Capital costs</t>
        </is>
      </c>
      <c r="C32" s="6" t="inlineStr">
        <is>
          <t>Water test</t>
        </is>
      </c>
      <c r="D32" s="2" t="inlineStr">
        <is>
          <t>RWF per sample</t>
        </is>
      </c>
      <c r="E32" s="13" t="n">
        <v>60000</v>
      </c>
      <c r="F32" s="13" t="n">
        <v>45000</v>
      </c>
      <c r="G32" s="13" t="n">
        <v>35000</v>
      </c>
      <c r="H32" s="14">
        <f>CHOOSE(Control!$C$5,E32,F32,G32)</f>
        <v/>
      </c>
      <c r="I32" s="3" t="inlineStr">
        <is>
          <t>U</t>
        </is>
      </c>
      <c r="J32" s="2" t="inlineStr">
        <is>
          <t>placeholder — pending Stage 1 research</t>
        </is>
      </c>
      <c r="K32" s="2" t="inlineStr">
        <is>
          <t>Get lab quotes</t>
        </is>
      </c>
    </row>
    <row r="33">
      <c r="A33" s="2" t="inlineStr">
        <is>
          <t>SURVEY</t>
        </is>
      </c>
      <c r="B33" s="2" t="inlineStr">
        <is>
          <t>Capital costs</t>
        </is>
      </c>
      <c r="C33" s="6" t="inlineStr">
        <is>
          <t>Survey, title and legal checks</t>
        </is>
      </c>
      <c r="D33" s="2" t="inlineStr">
        <is>
          <t>RWF lump</t>
        </is>
      </c>
      <c r="E33" s="13" t="n">
        <v>600000</v>
      </c>
      <c r="F33" s="13" t="n">
        <v>400000</v>
      </c>
      <c r="G33" s="13" t="n">
        <v>300000</v>
      </c>
      <c r="H33" s="14">
        <f>CHOOSE(Control!$C$5,E33,F33,G33)</f>
        <v/>
      </c>
      <c r="I33" s="3" t="inlineStr">
        <is>
          <t>U</t>
        </is>
      </c>
      <c r="J33" s="2" t="inlineStr">
        <is>
          <t>placeholder — pending Stage 1 research</t>
        </is>
      </c>
      <c r="K33" s="2" t="inlineStr"/>
    </row>
    <row r="34">
      <c r="A34" s="2" t="inlineStr">
        <is>
          <t>PERMIT</t>
        </is>
      </c>
      <c r="B34" s="2" t="inlineStr">
        <is>
          <t>Capital costs</t>
        </is>
      </c>
      <c r="C34" s="6" t="inlineStr">
        <is>
          <t>Permits and compliance</t>
        </is>
      </c>
      <c r="D34" s="2" t="inlineStr">
        <is>
          <t>RWF lump</t>
        </is>
      </c>
      <c r="E34" s="13" t="n">
        <v>500000</v>
      </c>
      <c r="F34" s="13" t="n">
        <v>300000</v>
      </c>
      <c r="G34" s="13" t="n">
        <v>200000</v>
      </c>
      <c r="H34" s="14">
        <f>CHOOSE(Control!$C$5,E34,F34,G34)</f>
        <v/>
      </c>
      <c r="I34" s="3" t="inlineStr">
        <is>
          <t>U</t>
        </is>
      </c>
      <c r="J34" s="2" t="inlineStr">
        <is>
          <t>placeholder — pending Stage 1 research</t>
        </is>
      </c>
      <c r="K34" s="2" t="inlineStr"/>
    </row>
    <row r="35">
      <c r="A35" s="2" t="inlineStr">
        <is>
          <t>PROF</t>
        </is>
      </c>
      <c r="B35" s="2" t="inlineStr">
        <is>
          <t>Capital costs</t>
        </is>
      </c>
      <c r="C35" s="6" t="inlineStr">
        <is>
          <t>Professional set-up visits (agronomist, vet)</t>
        </is>
      </c>
      <c r="D35" s="2" t="inlineStr">
        <is>
          <t>RWF lump</t>
        </is>
      </c>
      <c r="E35" s="13" t="n">
        <v>1000000</v>
      </c>
      <c r="F35" s="13" t="n">
        <v>800000</v>
      </c>
      <c r="G35" s="13" t="n">
        <v>600000</v>
      </c>
      <c r="H35" s="14">
        <f>CHOOSE(Control!$C$5,E35,F35,G35)</f>
        <v/>
      </c>
      <c r="I35" s="3" t="inlineStr">
        <is>
          <t>A</t>
        </is>
      </c>
      <c r="J35" s="2" t="inlineStr">
        <is>
          <t>placeholder — pending Stage 1 research</t>
        </is>
      </c>
      <c r="K35" s="2" t="inlineStr"/>
    </row>
    <row r="36">
      <c r="A36" s="2" t="inlineStr">
        <is>
          <t>PV</t>
        </is>
      </c>
      <c r="B36" s="2" t="inlineStr">
        <is>
          <t>Capital costs</t>
        </is>
      </c>
      <c r="C36" s="6" t="inlineStr">
        <is>
          <t>Solar PV with battery</t>
        </is>
      </c>
      <c r="D36" s="2" t="inlineStr">
        <is>
          <t>RWF per kWp</t>
        </is>
      </c>
      <c r="E36" s="13" t="n">
        <v>2500000</v>
      </c>
      <c r="F36" s="13" t="n">
        <v>2000000</v>
      </c>
      <c r="G36" s="13" t="n">
        <v>1700000</v>
      </c>
      <c r="H36" s="14">
        <f>CHOOSE(Control!$C$5,E36,F36,G36)</f>
        <v/>
      </c>
      <c r="I36" s="3" t="inlineStr">
        <is>
          <t>A</t>
        </is>
      </c>
      <c r="J36" s="2" t="inlineStr">
        <is>
          <t>placeholder — pending Stage 1 research</t>
        </is>
      </c>
      <c r="K36" s="2" t="inlineStr"/>
    </row>
    <row r="37">
      <c r="A37" s="2" t="inlineStr">
        <is>
          <t>SCALE</t>
        </is>
      </c>
      <c r="B37" s="2" t="inlineStr">
        <is>
          <t>Capital costs</t>
        </is>
      </c>
      <c r="C37" s="6" t="inlineStr">
        <is>
          <t>Livestock weighing scale</t>
        </is>
      </c>
      <c r="D37" s="2" t="inlineStr">
        <is>
          <t>RWF lump</t>
        </is>
      </c>
      <c r="E37" s="13" t="n">
        <v>600000</v>
      </c>
      <c r="F37" s="13" t="n">
        <v>450000</v>
      </c>
      <c r="G37" s="13" t="n">
        <v>350000</v>
      </c>
      <c r="H37" s="14">
        <f>CHOOSE(Control!$C$5,E37,F37,G37)</f>
        <v/>
      </c>
      <c r="I37" s="3" t="inlineStr">
        <is>
          <t>A</t>
        </is>
      </c>
      <c r="J37" s="2" t="inlineStr">
        <is>
          <t>placeholder — pending Stage 1 research</t>
        </is>
      </c>
      <c r="K37" s="2" t="inlineStr"/>
    </row>
    <row r="38">
      <c r="A38" s="11" t="n"/>
      <c r="B38" s="12" t="inlineStr">
        <is>
          <t>Operating costs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</row>
    <row r="39">
      <c r="A39" s="2" t="inlineStr">
        <is>
          <t>VET</t>
        </is>
      </c>
      <c r="B39" s="2" t="inlineStr">
        <is>
          <t>Operating costs</t>
        </is>
      </c>
      <c r="C39" s="6" t="inlineStr">
        <is>
          <t>Veterinary care and medicines</t>
        </is>
      </c>
      <c r="D39" s="2" t="inlineStr">
        <is>
          <t>RWF per head per yr</t>
        </is>
      </c>
      <c r="E39" s="13" t="n">
        <v>8000</v>
      </c>
      <c r="F39" s="13" t="n">
        <v>6000</v>
      </c>
      <c r="G39" s="13" t="n">
        <v>5000</v>
      </c>
      <c r="H39" s="14">
        <f>CHOOSE(Control!$C$5,E39,F39,G39)</f>
        <v/>
      </c>
      <c r="I39" s="3" t="inlineStr">
        <is>
          <t>A</t>
        </is>
      </c>
      <c r="J39" s="2" t="inlineStr">
        <is>
          <t>placeholder — pending Stage 1 research</t>
        </is>
      </c>
      <c r="K39" s="2" t="inlineStr">
        <is>
          <t>Confirm with a Rwandan vet</t>
        </is>
      </c>
    </row>
    <row r="40">
      <c r="A40" s="2" t="inlineStr">
        <is>
          <t>MINERAL</t>
        </is>
      </c>
      <c r="B40" s="2" t="inlineStr">
        <is>
          <t>Operating costs</t>
        </is>
      </c>
      <c r="C40" s="6" t="inlineStr">
        <is>
          <t>Minerals and supplements</t>
        </is>
      </c>
      <c r="D40" s="2" t="inlineStr">
        <is>
          <t>RWF per head per yr</t>
        </is>
      </c>
      <c r="E40" s="13" t="n">
        <v>3000</v>
      </c>
      <c r="F40" s="13" t="n">
        <v>2500</v>
      </c>
      <c r="G40" s="13" t="n">
        <v>2000</v>
      </c>
      <c r="H40" s="14">
        <f>CHOOSE(Control!$C$5,E40,F40,G40)</f>
        <v/>
      </c>
      <c r="I40" s="3" t="inlineStr">
        <is>
          <t>A</t>
        </is>
      </c>
      <c r="J40" s="2" t="inlineStr">
        <is>
          <t>placeholder — pending Stage 1 research</t>
        </is>
      </c>
      <c r="K40" s="2" t="inlineStr"/>
    </row>
    <row r="41">
      <c r="A41" s="2" t="inlineStr">
        <is>
          <t>FERT</t>
        </is>
      </c>
      <c r="B41" s="2" t="inlineStr">
        <is>
          <t>Operating costs</t>
        </is>
      </c>
      <c r="C41" s="6" t="inlineStr">
        <is>
          <t>Orchard inputs (fertiliser, compost, protection)</t>
        </is>
      </c>
      <c r="D41" s="2" t="inlineStr">
        <is>
          <t>RWF per ha per yr</t>
        </is>
      </c>
      <c r="E41" s="13" t="n">
        <v>900000</v>
      </c>
      <c r="F41" s="13" t="n">
        <v>700000</v>
      </c>
      <c r="G41" s="13" t="n">
        <v>550000</v>
      </c>
      <c r="H41" s="14">
        <f>CHOOSE(Control!$C$5,E41,F41,G41)</f>
        <v/>
      </c>
      <c r="I41" s="3" t="inlineStr">
        <is>
          <t>A</t>
        </is>
      </c>
      <c r="J41" s="2" t="inlineStr">
        <is>
          <t>placeholder — pending Stage 1 research</t>
        </is>
      </c>
      <c r="K41" s="2" t="inlineStr"/>
    </row>
    <row r="42">
      <c r="A42" s="2" t="inlineStr">
        <is>
          <t>PASTM</t>
        </is>
      </c>
      <c r="B42" s="2" t="inlineStr">
        <is>
          <t>Operating costs</t>
        </is>
      </c>
      <c r="C42" s="6" t="inlineStr">
        <is>
          <t>Pasture and fodder upkeep</t>
        </is>
      </c>
      <c r="D42" s="2" t="inlineStr">
        <is>
          <t>RWF per ha per yr</t>
        </is>
      </c>
      <c r="E42" s="13" t="n">
        <v>150000</v>
      </c>
      <c r="F42" s="13" t="n">
        <v>100000</v>
      </c>
      <c r="G42" s="13" t="n">
        <v>80000</v>
      </c>
      <c r="H42" s="14">
        <f>CHOOSE(Control!$C$5,E42,F42,G42)</f>
        <v/>
      </c>
      <c r="I42" s="3" t="inlineStr">
        <is>
          <t>A</t>
        </is>
      </c>
      <c r="J42" s="2" t="inlineStr">
        <is>
          <t>placeholder — pending Stage 1 research</t>
        </is>
      </c>
      <c r="K42" s="2" t="inlineStr"/>
    </row>
    <row r="43">
      <c r="A43" s="2" t="inlineStr">
        <is>
          <t>TRANS_KG</t>
        </is>
      </c>
      <c r="B43" s="2" t="inlineStr">
        <is>
          <t>Operating costs</t>
        </is>
      </c>
      <c r="C43" s="6" t="inlineStr">
        <is>
          <t>Transport of fruit to buyers</t>
        </is>
      </c>
      <c r="D43" s="2" t="inlineStr">
        <is>
          <t>RWF per kg</t>
        </is>
      </c>
      <c r="E43" s="13" t="n">
        <v>80</v>
      </c>
      <c r="F43" s="13" t="n">
        <v>60</v>
      </c>
      <c r="G43" s="13" t="n">
        <v>40</v>
      </c>
      <c r="H43" s="14">
        <f>CHOOSE(Control!$C$5,E43,F43,G43)</f>
        <v/>
      </c>
      <c r="I43" s="3" t="inlineStr">
        <is>
          <t>U</t>
        </is>
      </c>
      <c r="J43" s="2" t="inlineStr">
        <is>
          <t>placeholder — pending Stage 1 research</t>
        </is>
      </c>
      <c r="K43" s="2" t="inlineStr">
        <is>
          <t>Depends on the unconfirmed location</t>
        </is>
      </c>
    </row>
    <row r="44">
      <c r="A44" s="2" t="inlineStr">
        <is>
          <t>TRANS_HD</t>
        </is>
      </c>
      <c r="B44" s="2" t="inlineStr">
        <is>
          <t>Operating costs</t>
        </is>
      </c>
      <c r="C44" s="6" t="inlineStr">
        <is>
          <t>Transport of livestock to buyers</t>
        </is>
      </c>
      <c r="D44" s="2" t="inlineStr">
        <is>
          <t>RWF per head</t>
        </is>
      </c>
      <c r="E44" s="13" t="n">
        <v>3000</v>
      </c>
      <c r="F44" s="13" t="n">
        <v>2000</v>
      </c>
      <c r="G44" s="13" t="n">
        <v>1500</v>
      </c>
      <c r="H44" s="14">
        <f>CHOOSE(Control!$C$5,E44,F44,G44)</f>
        <v/>
      </c>
      <c r="I44" s="3" t="inlineStr">
        <is>
          <t>U</t>
        </is>
      </c>
      <c r="J44" s="2" t="inlineStr">
        <is>
          <t>placeholder — pending Stage 1 research</t>
        </is>
      </c>
      <c r="K44" s="2" t="inlineStr">
        <is>
          <t>Depends on the unconfirmed location</t>
        </is>
      </c>
    </row>
    <row r="45">
      <c r="A45" s="2" t="inlineStr">
        <is>
          <t>PACK</t>
        </is>
      </c>
      <c r="B45" s="2" t="inlineStr">
        <is>
          <t>Operating costs</t>
        </is>
      </c>
      <c r="C45" s="6" t="inlineStr">
        <is>
          <t>Packaging</t>
        </is>
      </c>
      <c r="D45" s="2" t="inlineStr">
        <is>
          <t>RWF per kg fruit</t>
        </is>
      </c>
      <c r="E45" s="13" t="n">
        <v>40</v>
      </c>
      <c r="F45" s="13" t="n">
        <v>30</v>
      </c>
      <c r="G45" s="13" t="n">
        <v>25</v>
      </c>
      <c r="H45" s="14">
        <f>CHOOSE(Control!$C$5,E45,F45,G45)</f>
        <v/>
      </c>
      <c r="I45" s="3" t="inlineStr">
        <is>
          <t>A</t>
        </is>
      </c>
      <c r="J45" s="2" t="inlineStr">
        <is>
          <t>placeholder — pending Stage 1 research</t>
        </is>
      </c>
      <c r="K45" s="2" t="inlineStr"/>
    </row>
    <row r="46">
      <c r="A46" s="2" t="inlineStr">
        <is>
          <t>COMMS</t>
        </is>
      </c>
      <c r="B46" s="2" t="inlineStr">
        <is>
          <t>Operating costs</t>
        </is>
      </c>
      <c r="C46" s="6" t="inlineStr">
        <is>
          <t>Communications and software</t>
        </is>
      </c>
      <c r="D46" s="2" t="inlineStr">
        <is>
          <t>RWF per month</t>
        </is>
      </c>
      <c r="E46" s="13" t="n">
        <v>40000</v>
      </c>
      <c r="F46" s="13" t="n">
        <v>30000</v>
      </c>
      <c r="G46" s="13" t="n">
        <v>25000</v>
      </c>
      <c r="H46" s="14">
        <f>CHOOSE(Control!$C$5,E46,F46,G46)</f>
        <v/>
      </c>
      <c r="I46" s="3" t="inlineStr">
        <is>
          <t>A</t>
        </is>
      </c>
      <c r="J46" s="2" t="inlineStr">
        <is>
          <t>placeholder — pending Stage 1 research</t>
        </is>
      </c>
      <c r="K46" s="2" t="inlineStr"/>
    </row>
    <row r="47">
      <c r="A47" s="2" t="inlineStr">
        <is>
          <t>UTIL</t>
        </is>
      </c>
      <c r="B47" s="2" t="inlineStr">
        <is>
          <t>Operating costs</t>
        </is>
      </c>
      <c r="C47" s="6" t="inlineStr">
        <is>
          <t>Utilities and fuel</t>
        </is>
      </c>
      <c r="D47" s="2" t="inlineStr">
        <is>
          <t>RWF per month</t>
        </is>
      </c>
      <c r="E47" s="13" t="n">
        <v>40000</v>
      </c>
      <c r="F47" s="13" t="n">
        <v>30000</v>
      </c>
      <c r="G47" s="13" t="n">
        <v>20000</v>
      </c>
      <c r="H47" s="14">
        <f>CHOOSE(Control!$C$5,E47,F47,G47)</f>
        <v/>
      </c>
      <c r="I47" s="3" t="inlineStr">
        <is>
          <t>A</t>
        </is>
      </c>
      <c r="J47" s="2" t="inlineStr">
        <is>
          <t>placeholder — pending Stage 1 research</t>
        </is>
      </c>
      <c r="K47" s="2" t="inlineStr"/>
    </row>
    <row r="48">
      <c r="A48" s="2" t="inlineStr">
        <is>
          <t>ADMIN</t>
        </is>
      </c>
      <c r="B48" s="2" t="inlineStr">
        <is>
          <t>Operating costs</t>
        </is>
      </c>
      <c r="C48" s="6" t="inlineStr">
        <is>
          <t>Administration and accounting</t>
        </is>
      </c>
      <c r="D48" s="2" t="inlineStr">
        <is>
          <t>RWF per month</t>
        </is>
      </c>
      <c r="E48" s="13" t="n">
        <v>60000</v>
      </c>
      <c r="F48" s="13" t="n">
        <v>40000</v>
      </c>
      <c r="G48" s="13" t="n">
        <v>30000</v>
      </c>
      <c r="H48" s="14">
        <f>CHOOSE(Control!$C$5,E48,F48,G48)</f>
        <v/>
      </c>
      <c r="I48" s="3" t="inlineStr">
        <is>
          <t>A</t>
        </is>
      </c>
      <c r="J48" s="2" t="inlineStr">
        <is>
          <t>placeholder — pending Stage 1 research</t>
        </is>
      </c>
      <c r="K48" s="2" t="inlineStr"/>
    </row>
    <row r="49">
      <c r="A49" s="2" t="inlineStr">
        <is>
          <t>INS</t>
        </is>
      </c>
      <c r="B49" s="2" t="inlineStr">
        <is>
          <t>Operating costs</t>
        </is>
      </c>
      <c r="C49" s="6" t="inlineStr">
        <is>
          <t>Livestock insurance premium</t>
        </is>
      </c>
      <c r="D49" s="2" t="inlineStr">
        <is>
          <t>share of herd value per yr</t>
        </is>
      </c>
      <c r="E49" s="17" t="n">
        <v>0.06</v>
      </c>
      <c r="F49" s="17" t="n">
        <v>0.05</v>
      </c>
      <c r="G49" s="17" t="n">
        <v>0.04</v>
      </c>
      <c r="H49" s="18">
        <f>CHOOSE(Control!$C$5,E49,F49,G49)</f>
        <v/>
      </c>
      <c r="I49" s="3" t="inlineStr">
        <is>
          <t>U</t>
        </is>
      </c>
      <c r="J49" s="2" t="inlineStr">
        <is>
          <t>placeholder — pending Stage 1 research</t>
        </is>
      </c>
      <c r="K49" s="2" t="inlineStr">
        <is>
          <t>Check the national agriculture insurance scheme</t>
        </is>
      </c>
    </row>
    <row r="50">
      <c r="A50" s="2" t="inlineStr">
        <is>
          <t>LANDFEE</t>
        </is>
      </c>
      <c r="B50" s="2" t="inlineStr">
        <is>
          <t>Operating costs</t>
        </is>
      </c>
      <c r="C50" s="6" t="inlineStr">
        <is>
          <t>Land fees and taxes</t>
        </is>
      </c>
      <c r="D50" s="2" t="inlineStr">
        <is>
          <t>RWF per yr</t>
        </is>
      </c>
      <c r="E50" s="13" t="n">
        <v>200000</v>
      </c>
      <c r="F50" s="13" t="n">
        <v>120000</v>
      </c>
      <c r="G50" s="13" t="n">
        <v>80000</v>
      </c>
      <c r="H50" s="14">
        <f>CHOOSE(Control!$C$5,E50,F50,G50)</f>
        <v/>
      </c>
      <c r="I50" s="3" t="inlineStr">
        <is>
          <t>U</t>
        </is>
      </c>
      <c r="J50" s="2" t="inlineStr">
        <is>
          <t>placeholder — pending Stage 1 research</t>
        </is>
      </c>
      <c r="K50" s="2" t="inlineStr">
        <is>
          <t>Depends on the title</t>
        </is>
      </c>
    </row>
    <row r="51">
      <c r="A51" s="11" t="n"/>
      <c r="B51" s="12" t="inlineStr">
        <is>
          <t>Feed</t>
        </is>
      </c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</row>
    <row r="52">
      <c r="A52" s="2" t="inlineStr">
        <is>
          <t>PAST_Y</t>
        </is>
      </c>
      <c r="B52" s="2" t="inlineStr">
        <is>
          <t>Feed</t>
        </is>
      </c>
      <c r="C52" s="6" t="inlineStr">
        <is>
          <t>Pasture yield</t>
        </is>
      </c>
      <c r="D52" s="2" t="inlineStr">
        <is>
          <t>t DM per ha per yr</t>
        </is>
      </c>
      <c r="E52" s="13" t="n">
        <v>6</v>
      </c>
      <c r="F52" s="13" t="n">
        <v>9</v>
      </c>
      <c r="G52" s="13" t="n">
        <v>12</v>
      </c>
      <c r="H52" s="14">
        <f>CHOOSE(Control!$C$5,E52,F52,G52)</f>
        <v/>
      </c>
      <c r="I52" s="3" t="inlineStr">
        <is>
          <t>A</t>
        </is>
      </c>
      <c r="J52" s="2" t="inlineStr">
        <is>
          <t>placeholder — pending Stage 1 research</t>
        </is>
      </c>
      <c r="K52" s="2" t="inlineStr"/>
    </row>
    <row r="53">
      <c r="A53" s="2" t="inlineStr">
        <is>
          <t>FOD_Y</t>
        </is>
      </c>
      <c r="B53" s="2" t="inlineStr">
        <is>
          <t>Feed</t>
        </is>
      </c>
      <c r="C53" s="6" t="inlineStr">
        <is>
          <t>Fodder bank yield (cut-and-carry)</t>
        </is>
      </c>
      <c r="D53" s="2" t="inlineStr">
        <is>
          <t>t DM per ha per yr</t>
        </is>
      </c>
      <c r="E53" s="13" t="n">
        <v>12</v>
      </c>
      <c r="F53" s="13" t="n">
        <v>18</v>
      </c>
      <c r="G53" s="13" t="n">
        <v>24</v>
      </c>
      <c r="H53" s="14">
        <f>CHOOSE(Control!$C$5,E53,F53,G53)</f>
        <v/>
      </c>
      <c r="I53" s="3" t="inlineStr">
        <is>
          <t>A</t>
        </is>
      </c>
      <c r="J53" s="2" t="inlineStr">
        <is>
          <t>placeholder — pending Stage 1 research</t>
        </is>
      </c>
      <c r="K53" s="2" t="inlineStr"/>
    </row>
    <row r="54">
      <c r="A54" s="2" t="inlineStr">
        <is>
          <t>GRAZE</t>
        </is>
      </c>
      <c r="B54" s="2" t="inlineStr">
        <is>
          <t>Feed</t>
        </is>
      </c>
      <c r="C54" s="6" t="inlineStr">
        <is>
          <t>Grazing utilisation</t>
        </is>
      </c>
      <c r="D54" s="2" t="inlineStr">
        <is>
          <t>share</t>
        </is>
      </c>
      <c r="E54" s="17" t="n">
        <v>0.5</v>
      </c>
      <c r="F54" s="17" t="n">
        <v>0.6</v>
      </c>
      <c r="G54" s="17" t="n">
        <v>0.65</v>
      </c>
      <c r="H54" s="18">
        <f>CHOOSE(Control!$C$5,E54,F54,G54)</f>
        <v/>
      </c>
      <c r="I54" s="3" t="inlineStr">
        <is>
          <t>A</t>
        </is>
      </c>
      <c r="J54" s="2" t="inlineStr">
        <is>
          <t>placeholder — pending Stage 1 research</t>
        </is>
      </c>
      <c r="K54" s="2" t="inlineStr"/>
    </row>
    <row r="55">
      <c r="A55" s="2" t="inlineStr">
        <is>
          <t>CUT</t>
        </is>
      </c>
      <c r="B55" s="2" t="inlineStr">
        <is>
          <t>Feed</t>
        </is>
      </c>
      <c r="C55" s="6" t="inlineStr">
        <is>
          <t>Cut-and-carry utilisation</t>
        </is>
      </c>
      <c r="D55" s="2" t="inlineStr">
        <is>
          <t>share</t>
        </is>
      </c>
      <c r="E55" s="17" t="n">
        <v>0.7</v>
      </c>
      <c r="F55" s="17" t="n">
        <v>0.8</v>
      </c>
      <c r="G55" s="17" t="n">
        <v>0.85</v>
      </c>
      <c r="H55" s="18">
        <f>CHOOSE(Control!$C$5,E55,F55,G55)</f>
        <v/>
      </c>
      <c r="I55" s="3" t="inlineStr">
        <is>
          <t>A</t>
        </is>
      </c>
      <c r="J55" s="2" t="inlineStr">
        <is>
          <t>placeholder — pending Stage 1 research</t>
        </is>
      </c>
      <c r="K55" s="2" t="inlineStr"/>
    </row>
    <row r="56">
      <c r="A56" s="2" t="inlineStr">
        <is>
          <t>CONS_EFF</t>
        </is>
      </c>
      <c r="B56" s="2" t="inlineStr">
        <is>
          <t>Feed</t>
        </is>
      </c>
      <c r="C56" s="6" t="inlineStr">
        <is>
          <t>Hay/silage conservation efficiency</t>
        </is>
      </c>
      <c r="D56" s="2" t="inlineStr">
        <is>
          <t>share</t>
        </is>
      </c>
      <c r="E56" s="17" t="n">
        <v>0.6</v>
      </c>
      <c r="F56" s="17" t="n">
        <v>0.7</v>
      </c>
      <c r="G56" s="17" t="n">
        <v>0.8</v>
      </c>
      <c r="H56" s="18">
        <f>CHOOSE(Control!$C$5,E56,F56,G56)</f>
        <v/>
      </c>
      <c r="I56" s="3" t="inlineStr">
        <is>
          <t>A</t>
        </is>
      </c>
      <c r="J56" s="2" t="inlineStr">
        <is>
          <t>placeholder — pending Stage 1 research</t>
        </is>
      </c>
      <c r="K56" s="2" t="inlineStr"/>
    </row>
    <row r="57">
      <c r="A57" s="2" t="inlineStr">
        <is>
          <t>CONS_COST</t>
        </is>
      </c>
      <c r="B57" s="2" t="inlineStr">
        <is>
          <t>Feed</t>
        </is>
      </c>
      <c r="C57" s="6" t="inlineStr">
        <is>
          <t>Conservation cost</t>
        </is>
      </c>
      <c r="D57" s="2" t="inlineStr">
        <is>
          <t>RWF per kg DM</t>
        </is>
      </c>
      <c r="E57" s="13" t="n">
        <v>30</v>
      </c>
      <c r="F57" s="13" t="n">
        <v>20</v>
      </c>
      <c r="G57" s="13" t="n">
        <v>15</v>
      </c>
      <c r="H57" s="14">
        <f>CHOOSE(Control!$C$5,E57,F57,G57)</f>
        <v/>
      </c>
      <c r="I57" s="3" t="inlineStr">
        <is>
          <t>A</t>
        </is>
      </c>
      <c r="J57" s="2" t="inlineStr">
        <is>
          <t>placeholder — pending Stage 1 research</t>
        </is>
      </c>
      <c r="K57" s="2" t="inlineStr"/>
    </row>
    <row r="58">
      <c r="A58" s="2" t="inlineStr">
        <is>
          <t>FEED_COST</t>
        </is>
      </c>
      <c r="B58" s="2" t="inlineStr">
        <is>
          <t>Feed</t>
        </is>
      </c>
      <c r="C58" s="6" t="inlineStr">
        <is>
          <t>Purchased feed</t>
        </is>
      </c>
      <c r="D58" s="2" t="inlineStr">
        <is>
          <t>RWF per kg DM</t>
        </is>
      </c>
      <c r="E58" s="13" t="n">
        <v>300</v>
      </c>
      <c r="F58" s="13" t="n">
        <v>220</v>
      </c>
      <c r="G58" s="13" t="n">
        <v>180</v>
      </c>
      <c r="H58" s="14">
        <f>CHOOSE(Control!$C$5,E58,F58,G58)</f>
        <v/>
      </c>
      <c r="I58" s="3" t="inlineStr">
        <is>
          <t>A</t>
        </is>
      </c>
      <c r="J58" s="2" t="inlineStr">
        <is>
          <t>placeholder — pending Stage 1 research</t>
        </is>
      </c>
      <c r="K58" s="2" t="inlineStr"/>
    </row>
    <row r="59">
      <c r="A59" s="2" t="inlineStr">
        <is>
          <t>READY</t>
        </is>
      </c>
      <c r="B59" s="2" t="inlineStr">
        <is>
          <t>Feed</t>
        </is>
      </c>
      <c r="C59" s="6" t="inlineStr">
        <is>
          <t>Months from planting to first forage</t>
        </is>
      </c>
      <c r="D59" s="2" t="inlineStr">
        <is>
          <t>months</t>
        </is>
      </c>
      <c r="E59" s="13" t="n">
        <v>6</v>
      </c>
      <c r="F59" s="13" t="n">
        <v>5</v>
      </c>
      <c r="G59" s="13" t="n">
        <v>4</v>
      </c>
      <c r="H59" s="14">
        <f>CHOOSE(Control!$C$5,E59,F59,G59)</f>
        <v/>
      </c>
      <c r="I59" s="3" t="inlineStr">
        <is>
          <t>A</t>
        </is>
      </c>
      <c r="J59" s="2" t="inlineStr">
        <is>
          <t>placeholder — pending Stage 1 research</t>
        </is>
      </c>
      <c r="K59" s="2" t="inlineStr"/>
    </row>
    <row r="60">
      <c r="A60" s="11" t="n"/>
      <c r="B60" s="12" t="inlineStr">
        <is>
          <t>Livestock: Goats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</row>
    <row r="61">
      <c r="A61" s="2" t="inlineStr">
        <is>
          <t>GT_PART</t>
        </is>
      </c>
      <c r="B61" s="2" t="inlineStr">
        <is>
          <t>Livestock: Goats</t>
        </is>
      </c>
      <c r="C61" s="6" t="inlineStr">
        <is>
          <t>Births (parturitions) per breeding female</t>
        </is>
      </c>
      <c r="D61" s="2" t="inlineStr">
        <is>
          <t>per yr</t>
        </is>
      </c>
      <c r="E61" s="15" t="n">
        <v>1.1</v>
      </c>
      <c r="F61" s="15" t="n">
        <v>1.3</v>
      </c>
      <c r="G61" s="15" t="n">
        <v>1.5</v>
      </c>
      <c r="H61" s="16">
        <f>CHOOSE(Control!$C$5,E61,F61,G61)</f>
        <v/>
      </c>
      <c r="I61" s="3" t="inlineStr">
        <is>
          <t>A</t>
        </is>
      </c>
      <c r="J61" s="2" t="inlineStr">
        <is>
          <t>placeholder — pending Stage 1 research</t>
        </is>
      </c>
      <c r="K61" s="2" t="inlineStr"/>
    </row>
    <row r="62">
      <c r="A62" s="11" t="n"/>
      <c r="B62" s="12" t="inlineStr">
        <is>
          <t>Livestock: Sheep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</row>
    <row r="63">
      <c r="A63" s="2" t="inlineStr">
        <is>
          <t>SH_PART</t>
        </is>
      </c>
      <c r="B63" s="2" t="inlineStr">
        <is>
          <t>Livestock: Sheep</t>
        </is>
      </c>
      <c r="C63" s="6" t="inlineStr">
        <is>
          <t>Births (parturitions) per breeding female</t>
        </is>
      </c>
      <c r="D63" s="2" t="inlineStr">
        <is>
          <t>per yr</t>
        </is>
      </c>
      <c r="E63" s="15" t="n">
        <v>0.9</v>
      </c>
      <c r="F63" s="15" t="n">
        <v>1.1</v>
      </c>
      <c r="G63" s="15" t="n">
        <v>1.3</v>
      </c>
      <c r="H63" s="16">
        <f>CHOOSE(Control!$C$5,E63,F63,G63)</f>
        <v/>
      </c>
      <c r="I63" s="3" t="inlineStr">
        <is>
          <t>A</t>
        </is>
      </c>
      <c r="J63" s="2" t="inlineStr">
        <is>
          <t>placeholder — pending Stage 1 research</t>
        </is>
      </c>
      <c r="K63" s="2" t="inlineStr"/>
    </row>
    <row r="64">
      <c r="A64" s="11" t="n"/>
      <c r="B64" s="12" t="inlineStr">
        <is>
          <t>Livestock: Goats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</row>
    <row r="65">
      <c r="A65" s="2" t="inlineStr">
        <is>
          <t>GT_LIT</t>
        </is>
      </c>
      <c r="B65" s="2" t="inlineStr">
        <is>
          <t>Livestock: Goats</t>
        </is>
      </c>
      <c r="C65" s="6" t="inlineStr">
        <is>
          <t>Litter size</t>
        </is>
      </c>
      <c r="D65" s="2" t="inlineStr">
        <is>
          <t>young per birth</t>
        </is>
      </c>
      <c r="E65" s="15" t="n">
        <v>1.3</v>
      </c>
      <c r="F65" s="15" t="n">
        <v>1.5</v>
      </c>
      <c r="G65" s="15" t="n">
        <v>1.7</v>
      </c>
      <c r="H65" s="16">
        <f>CHOOSE(Control!$C$5,E65,F65,G65)</f>
        <v/>
      </c>
      <c r="I65" s="3" t="inlineStr">
        <is>
          <t>A</t>
        </is>
      </c>
      <c r="J65" s="2" t="inlineStr">
        <is>
          <t>placeholder — pending Stage 1 research</t>
        </is>
      </c>
      <c r="K65" s="2" t="inlineStr"/>
    </row>
    <row r="66">
      <c r="A66" s="11" t="n"/>
      <c r="B66" s="12" t="inlineStr">
        <is>
          <t>Livestock: Sheep</t>
        </is>
      </c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</row>
    <row r="67">
      <c r="A67" s="2" t="inlineStr">
        <is>
          <t>SH_LIT</t>
        </is>
      </c>
      <c r="B67" s="2" t="inlineStr">
        <is>
          <t>Livestock: Sheep</t>
        </is>
      </c>
      <c r="C67" s="6" t="inlineStr">
        <is>
          <t>Litter size</t>
        </is>
      </c>
      <c r="D67" s="2" t="inlineStr">
        <is>
          <t>young per birth</t>
        </is>
      </c>
      <c r="E67" s="15" t="n">
        <v>1.1</v>
      </c>
      <c r="F67" s="15" t="n">
        <v>1.2</v>
      </c>
      <c r="G67" s="15" t="n">
        <v>1.4</v>
      </c>
      <c r="H67" s="16">
        <f>CHOOSE(Control!$C$5,E67,F67,G67)</f>
        <v/>
      </c>
      <c r="I67" s="3" t="inlineStr">
        <is>
          <t>A</t>
        </is>
      </c>
      <c r="J67" s="2" t="inlineStr">
        <is>
          <t>placeholder — pending Stage 1 research</t>
        </is>
      </c>
      <c r="K67" s="2" t="inlineStr"/>
    </row>
    <row r="68">
      <c r="A68" s="11" t="n"/>
      <c r="B68" s="12" t="inlineStr">
        <is>
          <t>Livestock: Goats</t>
        </is>
      </c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</row>
    <row r="69">
      <c r="A69" s="2" t="inlineStr">
        <is>
          <t>GT_YMORT</t>
        </is>
      </c>
      <c r="B69" s="2" t="inlineStr">
        <is>
          <t>Livestock: Goats</t>
        </is>
      </c>
      <c r="C69" s="6" t="inlineStr">
        <is>
          <t>Young mortality to weaning</t>
        </is>
      </c>
      <c r="D69" s="2" t="inlineStr">
        <is>
          <t>share</t>
        </is>
      </c>
      <c r="E69" s="17" t="n">
        <v>0.25</v>
      </c>
      <c r="F69" s="17" t="n">
        <v>0.15</v>
      </c>
      <c r="G69" s="17" t="n">
        <v>0.1</v>
      </c>
      <c r="H69" s="18">
        <f>CHOOSE(Control!$C$5,E69,F69,G69)</f>
        <v/>
      </c>
      <c r="I69" s="3" t="inlineStr">
        <is>
          <t>A</t>
        </is>
      </c>
      <c r="J69" s="2" t="inlineStr">
        <is>
          <t>placeholder — pending Stage 1 research</t>
        </is>
      </c>
      <c r="K69" s="2" t="inlineStr"/>
    </row>
    <row r="70">
      <c r="A70" s="11" t="n"/>
      <c r="B70" s="12" t="inlineStr">
        <is>
          <t>Livestock: Sheep</t>
        </is>
      </c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</row>
    <row r="71">
      <c r="A71" s="2" t="inlineStr">
        <is>
          <t>SH_YMORT</t>
        </is>
      </c>
      <c r="B71" s="2" t="inlineStr">
        <is>
          <t>Livestock: Sheep</t>
        </is>
      </c>
      <c r="C71" s="6" t="inlineStr">
        <is>
          <t>Young mortality to weaning</t>
        </is>
      </c>
      <c r="D71" s="2" t="inlineStr">
        <is>
          <t>share</t>
        </is>
      </c>
      <c r="E71" s="17" t="n">
        <v>0.25</v>
      </c>
      <c r="F71" s="17" t="n">
        <v>0.15</v>
      </c>
      <c r="G71" s="17" t="n">
        <v>0.1</v>
      </c>
      <c r="H71" s="18">
        <f>CHOOSE(Control!$C$5,E71,F71,G71)</f>
        <v/>
      </c>
      <c r="I71" s="3" t="inlineStr">
        <is>
          <t>A</t>
        </is>
      </c>
      <c r="J71" s="2" t="inlineStr">
        <is>
          <t>placeholder — pending Stage 1 research</t>
        </is>
      </c>
      <c r="K71" s="2" t="inlineStr"/>
    </row>
    <row r="72">
      <c r="A72" s="11" t="n"/>
      <c r="B72" s="12" t="inlineStr">
        <is>
          <t>Livestock: Goats</t>
        </is>
      </c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</row>
    <row r="73">
      <c r="A73" s="2" t="inlineStr">
        <is>
          <t>GT_AMORT</t>
        </is>
      </c>
      <c r="B73" s="2" t="inlineStr">
        <is>
          <t>Livestock: Goats</t>
        </is>
      </c>
      <c r="C73" s="6" t="inlineStr">
        <is>
          <t>Adult mortality</t>
        </is>
      </c>
      <c r="D73" s="2" t="inlineStr">
        <is>
          <t>share per yr</t>
        </is>
      </c>
      <c r="E73" s="17" t="n">
        <v>0.1</v>
      </c>
      <c r="F73" s="17" t="n">
        <v>0.06</v>
      </c>
      <c r="G73" s="17" t="n">
        <v>0.04</v>
      </c>
      <c r="H73" s="18">
        <f>CHOOSE(Control!$C$5,E73,F73,G73)</f>
        <v/>
      </c>
      <c r="I73" s="3" t="inlineStr">
        <is>
          <t>A</t>
        </is>
      </c>
      <c r="J73" s="2" t="inlineStr">
        <is>
          <t>placeholder — pending Stage 1 research</t>
        </is>
      </c>
      <c r="K73" s="2" t="inlineStr"/>
    </row>
    <row r="74">
      <c r="A74" s="11" t="n"/>
      <c r="B74" s="12" t="inlineStr">
        <is>
          <t>Livestock: Sheep</t>
        </is>
      </c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</row>
    <row r="75">
      <c r="A75" s="2" t="inlineStr">
        <is>
          <t>SH_AMORT</t>
        </is>
      </c>
      <c r="B75" s="2" t="inlineStr">
        <is>
          <t>Livestock: Sheep</t>
        </is>
      </c>
      <c r="C75" s="6" t="inlineStr">
        <is>
          <t>Adult mortality</t>
        </is>
      </c>
      <c r="D75" s="2" t="inlineStr">
        <is>
          <t>share per yr</t>
        </is>
      </c>
      <c r="E75" s="17" t="n">
        <v>0.1</v>
      </c>
      <c r="F75" s="17" t="n">
        <v>0.06</v>
      </c>
      <c r="G75" s="17" t="n">
        <v>0.04</v>
      </c>
      <c r="H75" s="18">
        <f>CHOOSE(Control!$C$5,E75,F75,G75)</f>
        <v/>
      </c>
      <c r="I75" s="3" t="inlineStr">
        <is>
          <t>A</t>
        </is>
      </c>
      <c r="J75" s="2" t="inlineStr">
        <is>
          <t>placeholder — pending Stage 1 research</t>
        </is>
      </c>
      <c r="K75" s="2" t="inlineStr"/>
    </row>
    <row r="76">
      <c r="A76" s="11" t="n"/>
      <c r="B76" s="12" t="inlineStr">
        <is>
          <t>Livestock: Goats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</row>
    <row r="77">
      <c r="A77" s="2" t="inlineStr">
        <is>
          <t>GT_CULL</t>
        </is>
      </c>
      <c r="B77" s="2" t="inlineStr">
        <is>
          <t>Livestock: Goats</t>
        </is>
      </c>
      <c r="C77" s="6" t="inlineStr">
        <is>
          <t>Adult cull rate</t>
        </is>
      </c>
      <c r="D77" s="2" t="inlineStr">
        <is>
          <t>share per yr</t>
        </is>
      </c>
      <c r="E77" s="17" t="n">
        <v>0.15</v>
      </c>
      <c r="F77" s="17" t="n">
        <v>0.15</v>
      </c>
      <c r="G77" s="17" t="n">
        <v>0.15</v>
      </c>
      <c r="H77" s="18">
        <f>CHOOSE(Control!$C$5,E77,F77,G77)</f>
        <v/>
      </c>
      <c r="I77" s="3" t="inlineStr">
        <is>
          <t>A</t>
        </is>
      </c>
      <c r="J77" s="2" t="inlineStr">
        <is>
          <t>placeholder — pending Stage 1 research</t>
        </is>
      </c>
      <c r="K77" s="2" t="inlineStr"/>
    </row>
    <row r="78">
      <c r="A78" s="11" t="n"/>
      <c r="B78" s="12" t="inlineStr">
        <is>
          <t>Livestock: Sheep</t>
        </is>
      </c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</row>
    <row r="79">
      <c r="A79" s="2" t="inlineStr">
        <is>
          <t>SH_CULL</t>
        </is>
      </c>
      <c r="B79" s="2" t="inlineStr">
        <is>
          <t>Livestock: Sheep</t>
        </is>
      </c>
      <c r="C79" s="6" t="inlineStr">
        <is>
          <t>Adult cull rate</t>
        </is>
      </c>
      <c r="D79" s="2" t="inlineStr">
        <is>
          <t>share per yr</t>
        </is>
      </c>
      <c r="E79" s="17" t="n">
        <v>0.15</v>
      </c>
      <c r="F79" s="17" t="n">
        <v>0.15</v>
      </c>
      <c r="G79" s="17" t="n">
        <v>0.15</v>
      </c>
      <c r="H79" s="18">
        <f>CHOOSE(Control!$C$5,E79,F79,G79)</f>
        <v/>
      </c>
      <c r="I79" s="3" t="inlineStr">
        <is>
          <t>A</t>
        </is>
      </c>
      <c r="J79" s="2" t="inlineStr">
        <is>
          <t>placeholder — pending Stage 1 research</t>
        </is>
      </c>
      <c r="K79" s="2" t="inlineStr"/>
    </row>
    <row r="80">
      <c r="A80" s="11" t="n"/>
      <c r="B80" s="12" t="inlineStr">
        <is>
          <t>Livestock: Goats</t>
        </is>
      </c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</row>
    <row r="81">
      <c r="A81" s="2" t="inlineStr">
        <is>
          <t>GT_SALEWT</t>
        </is>
      </c>
      <c r="B81" s="2" t="inlineStr">
        <is>
          <t>Livestock: Goats</t>
        </is>
      </c>
      <c r="C81" s="6" t="inlineStr">
        <is>
          <t>Live weight at sale (9 months)</t>
        </is>
      </c>
      <c r="D81" s="2" t="inlineStr">
        <is>
          <t>kg</t>
        </is>
      </c>
      <c r="E81" s="13" t="n">
        <v>20</v>
      </c>
      <c r="F81" s="13" t="n">
        <v>24</v>
      </c>
      <c r="G81" s="13" t="n">
        <v>28</v>
      </c>
      <c r="H81" s="14">
        <f>CHOOSE(Control!$C$5,E81,F81,G81)</f>
        <v/>
      </c>
      <c r="I81" s="3" t="inlineStr">
        <is>
          <t>A</t>
        </is>
      </c>
      <c r="J81" s="2" t="inlineStr">
        <is>
          <t>placeholder — pending Stage 1 research</t>
        </is>
      </c>
      <c r="K81" s="2" t="inlineStr"/>
    </row>
    <row r="82">
      <c r="A82" s="11" t="n"/>
      <c r="B82" s="12" t="inlineStr">
        <is>
          <t>Livestock: Sheep</t>
        </is>
      </c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</row>
    <row r="83">
      <c r="A83" s="2" t="inlineStr">
        <is>
          <t>SH_SALEWT</t>
        </is>
      </c>
      <c r="B83" s="2" t="inlineStr">
        <is>
          <t>Livestock: Sheep</t>
        </is>
      </c>
      <c r="C83" s="6" t="inlineStr">
        <is>
          <t>Live weight at sale (9 months)</t>
        </is>
      </c>
      <c r="D83" s="2" t="inlineStr">
        <is>
          <t>kg</t>
        </is>
      </c>
      <c r="E83" s="13" t="n">
        <v>22</v>
      </c>
      <c r="F83" s="13" t="n">
        <v>26</v>
      </c>
      <c r="G83" s="13" t="n">
        <v>30</v>
      </c>
      <c r="H83" s="14">
        <f>CHOOSE(Control!$C$5,E83,F83,G83)</f>
        <v/>
      </c>
      <c r="I83" s="3" t="inlineStr">
        <is>
          <t>A</t>
        </is>
      </c>
      <c r="J83" s="2" t="inlineStr">
        <is>
          <t>placeholder — pending Stage 1 research</t>
        </is>
      </c>
      <c r="K83" s="2" t="inlineStr"/>
    </row>
    <row r="84">
      <c r="A84" s="11" t="n"/>
      <c r="B84" s="12" t="inlineStr">
        <is>
          <t>Livestock: Goats</t>
        </is>
      </c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</row>
    <row r="85">
      <c r="A85" s="2" t="inlineStr">
        <is>
          <t>GT_ADULTWT</t>
        </is>
      </c>
      <c r="B85" s="2" t="inlineStr">
        <is>
          <t>Livestock: Goats</t>
        </is>
      </c>
      <c r="C85" s="6" t="inlineStr">
        <is>
          <t>Adult live weight (culls)</t>
        </is>
      </c>
      <c r="D85" s="2" t="inlineStr">
        <is>
          <t>kg</t>
        </is>
      </c>
      <c r="E85" s="13" t="n">
        <v>32</v>
      </c>
      <c r="F85" s="13" t="n">
        <v>35</v>
      </c>
      <c r="G85" s="13" t="n">
        <v>38</v>
      </c>
      <c r="H85" s="14">
        <f>CHOOSE(Control!$C$5,E85,F85,G85)</f>
        <v/>
      </c>
      <c r="I85" s="3" t="inlineStr">
        <is>
          <t>A</t>
        </is>
      </c>
      <c r="J85" s="2" t="inlineStr">
        <is>
          <t>placeholder — pending Stage 1 research</t>
        </is>
      </c>
      <c r="K85" s="2" t="inlineStr"/>
    </row>
    <row r="86">
      <c r="A86" s="11" t="n"/>
      <c r="B86" s="12" t="inlineStr">
        <is>
          <t>Livestock: Sheep</t>
        </is>
      </c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</row>
    <row r="87">
      <c r="A87" s="2" t="inlineStr">
        <is>
          <t>SH_ADULTWT</t>
        </is>
      </c>
      <c r="B87" s="2" t="inlineStr">
        <is>
          <t>Livestock: Sheep</t>
        </is>
      </c>
      <c r="C87" s="6" t="inlineStr">
        <is>
          <t>Adult live weight (culls)</t>
        </is>
      </c>
      <c r="D87" s="2" t="inlineStr">
        <is>
          <t>kg</t>
        </is>
      </c>
      <c r="E87" s="13" t="n">
        <v>30</v>
      </c>
      <c r="F87" s="13" t="n">
        <v>33</v>
      </c>
      <c r="G87" s="13" t="n">
        <v>36</v>
      </c>
      <c r="H87" s="14">
        <f>CHOOSE(Control!$C$5,E87,F87,G87)</f>
        <v/>
      </c>
      <c r="I87" s="3" t="inlineStr">
        <is>
          <t>A</t>
        </is>
      </c>
      <c r="J87" s="2" t="inlineStr">
        <is>
          <t>placeholder — pending Stage 1 research</t>
        </is>
      </c>
      <c r="K87" s="2" t="inlineStr"/>
    </row>
    <row r="88">
      <c r="A88" s="11" t="n"/>
      <c r="B88" s="12" t="inlineStr">
        <is>
          <t>Livestock: Goats</t>
        </is>
      </c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</row>
    <row r="89">
      <c r="A89" s="2" t="inlineStr">
        <is>
          <t>GT_PRICE</t>
        </is>
      </c>
      <c r="B89" s="2" t="inlineStr">
        <is>
          <t>Livestock: Goats</t>
        </is>
      </c>
      <c r="C89" s="6" t="inlineStr">
        <is>
          <t>Sale price, live weight</t>
        </is>
      </c>
      <c r="D89" s="2" t="inlineStr">
        <is>
          <t>RWF per kg</t>
        </is>
      </c>
      <c r="E89" s="13" t="n">
        <v>3000</v>
      </c>
      <c r="F89" s="13" t="n">
        <v>3500</v>
      </c>
      <c r="G89" s="13" t="n">
        <v>4000</v>
      </c>
      <c r="H89" s="14">
        <f>CHOOSE(Control!$C$5,E89,F89,G89)</f>
        <v/>
      </c>
      <c r="I89" s="3" t="inlineStr">
        <is>
          <t>A</t>
        </is>
      </c>
      <c r="J89" s="2" t="inlineStr">
        <is>
          <t>placeholder — pending Stage 1 research</t>
        </is>
      </c>
      <c r="K89" s="2" t="inlineStr"/>
    </row>
    <row r="90">
      <c r="A90" s="11" t="n"/>
      <c r="B90" s="12" t="inlineStr">
        <is>
          <t>Livestock: Sheep</t>
        </is>
      </c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</row>
    <row r="91">
      <c r="A91" s="2" t="inlineStr">
        <is>
          <t>SH_PRICE</t>
        </is>
      </c>
      <c r="B91" s="2" t="inlineStr">
        <is>
          <t>Livestock: Sheep</t>
        </is>
      </c>
      <c r="C91" s="6" t="inlineStr">
        <is>
          <t>Sale price, live weight</t>
        </is>
      </c>
      <c r="D91" s="2" t="inlineStr">
        <is>
          <t>RWF per kg</t>
        </is>
      </c>
      <c r="E91" s="13" t="n">
        <v>2800</v>
      </c>
      <c r="F91" s="13" t="n">
        <v>3200</v>
      </c>
      <c r="G91" s="13" t="n">
        <v>3600</v>
      </c>
      <c r="H91" s="14">
        <f>CHOOSE(Control!$C$5,E91,F91,G91)</f>
        <v/>
      </c>
      <c r="I91" s="3" t="inlineStr">
        <is>
          <t>A</t>
        </is>
      </c>
      <c r="J91" s="2" t="inlineStr">
        <is>
          <t>placeholder — pending Stage 1 research</t>
        </is>
      </c>
      <c r="K91" s="2" t="inlineStr"/>
    </row>
    <row r="92">
      <c r="A92" s="11" t="n"/>
      <c r="B92" s="12" t="inlineStr">
        <is>
          <t>Livestock: Goats</t>
        </is>
      </c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</row>
    <row r="93">
      <c r="A93" s="2" t="inlineStr">
        <is>
          <t>GT_FPRICE</t>
        </is>
      </c>
      <c r="B93" s="2" t="inlineStr">
        <is>
          <t>Livestock: Goats</t>
        </is>
      </c>
      <c r="C93" s="6" t="inlineStr">
        <is>
          <t>Breeding female purchase price</t>
        </is>
      </c>
      <c r="D93" s="2" t="inlineStr">
        <is>
          <t>RWF per head</t>
        </is>
      </c>
      <c r="E93" s="13" t="n">
        <v>60000</v>
      </c>
      <c r="F93" s="13" t="n">
        <v>50000</v>
      </c>
      <c r="G93" s="13" t="n">
        <v>45000</v>
      </c>
      <c r="H93" s="14">
        <f>CHOOSE(Control!$C$5,E93,F93,G93)</f>
        <v/>
      </c>
      <c r="I93" s="3" t="inlineStr">
        <is>
          <t>A</t>
        </is>
      </c>
      <c r="J93" s="2" t="inlineStr">
        <is>
          <t>placeholder — pending Stage 1 research</t>
        </is>
      </c>
      <c r="K93" s="2" t="inlineStr"/>
    </row>
    <row r="94">
      <c r="A94" s="11" t="n"/>
      <c r="B94" s="12" t="inlineStr">
        <is>
          <t>Livestock: Sheep</t>
        </is>
      </c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</row>
    <row r="95">
      <c r="A95" s="2" t="inlineStr">
        <is>
          <t>SH_FPRICE</t>
        </is>
      </c>
      <c r="B95" s="2" t="inlineStr">
        <is>
          <t>Livestock: Sheep</t>
        </is>
      </c>
      <c r="C95" s="6" t="inlineStr">
        <is>
          <t>Breeding female purchase price</t>
        </is>
      </c>
      <c r="D95" s="2" t="inlineStr">
        <is>
          <t>RWF per head</t>
        </is>
      </c>
      <c r="E95" s="13" t="n">
        <v>55000</v>
      </c>
      <c r="F95" s="13" t="n">
        <v>45000</v>
      </c>
      <c r="G95" s="13" t="n">
        <v>40000</v>
      </c>
      <c r="H95" s="14">
        <f>CHOOSE(Control!$C$5,E95,F95,G95)</f>
        <v/>
      </c>
      <c r="I95" s="3" t="inlineStr">
        <is>
          <t>A</t>
        </is>
      </c>
      <c r="J95" s="2" t="inlineStr">
        <is>
          <t>placeholder — pending Stage 1 research</t>
        </is>
      </c>
      <c r="K95" s="2" t="inlineStr"/>
    </row>
    <row r="96">
      <c r="A96" s="11" t="n"/>
      <c r="B96" s="12" t="inlineStr">
        <is>
          <t>Livestock: Goats</t>
        </is>
      </c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</row>
    <row r="97">
      <c r="A97" s="2" t="inlineStr">
        <is>
          <t>GT_MPRICE</t>
        </is>
      </c>
      <c r="B97" s="2" t="inlineStr">
        <is>
          <t>Livestock: Goats</t>
        </is>
      </c>
      <c r="C97" s="6" t="inlineStr">
        <is>
          <t>Breeding male purchase price</t>
        </is>
      </c>
      <c r="D97" s="2" t="inlineStr">
        <is>
          <t>RWF per head</t>
        </is>
      </c>
      <c r="E97" s="13" t="n">
        <v>250000</v>
      </c>
      <c r="F97" s="13" t="n">
        <v>200000</v>
      </c>
      <c r="G97" s="13" t="n">
        <v>150000</v>
      </c>
      <c r="H97" s="14">
        <f>CHOOSE(Control!$C$5,E97,F97,G97)</f>
        <v/>
      </c>
      <c r="I97" s="3" t="inlineStr">
        <is>
          <t>A</t>
        </is>
      </c>
      <c r="J97" s="2" t="inlineStr">
        <is>
          <t>placeholder — pending Stage 1 research</t>
        </is>
      </c>
      <c r="K97" s="2" t="inlineStr"/>
    </row>
    <row r="98">
      <c r="A98" s="11" t="n"/>
      <c r="B98" s="12" t="inlineStr">
        <is>
          <t>Livestock: Sheep</t>
        </is>
      </c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</row>
    <row r="99">
      <c r="A99" s="2" t="inlineStr">
        <is>
          <t>SH_MPRICE</t>
        </is>
      </c>
      <c r="B99" s="2" t="inlineStr">
        <is>
          <t>Livestock: Sheep</t>
        </is>
      </c>
      <c r="C99" s="6" t="inlineStr">
        <is>
          <t>Breeding male purchase price</t>
        </is>
      </c>
      <c r="D99" s="2" t="inlineStr">
        <is>
          <t>RWF per head</t>
        </is>
      </c>
      <c r="E99" s="13" t="n">
        <v>200000</v>
      </c>
      <c r="F99" s="13" t="n">
        <v>150000</v>
      </c>
      <c r="G99" s="13" t="n">
        <v>120000</v>
      </c>
      <c r="H99" s="14">
        <f>CHOOSE(Control!$C$5,E99,F99,G99)</f>
        <v/>
      </c>
      <c r="I99" s="3" t="inlineStr">
        <is>
          <t>A</t>
        </is>
      </c>
      <c r="J99" s="2" t="inlineStr">
        <is>
          <t>placeholder — pending Stage 1 research</t>
        </is>
      </c>
      <c r="K99" s="2" t="inlineStr"/>
    </row>
    <row r="100">
      <c r="A100" s="11" t="n"/>
      <c r="B100" s="12" t="inlineStr">
        <is>
          <t>Livestock: Goats</t>
        </is>
      </c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</row>
    <row r="101">
      <c r="A101" s="2" t="inlineStr">
        <is>
          <t>GT_BPREM</t>
        </is>
      </c>
      <c r="B101" s="2" t="inlineStr">
        <is>
          <t>Livestock: Goats</t>
        </is>
      </c>
      <c r="C101" s="6" t="inlineStr">
        <is>
          <t>Price premium for breeding-stock sales</t>
        </is>
      </c>
      <c r="D101" s="2" t="inlineStr">
        <is>
          <t>share</t>
        </is>
      </c>
      <c r="E101" s="17" t="n">
        <v>0.2</v>
      </c>
      <c r="F101" s="17" t="n">
        <v>0.3</v>
      </c>
      <c r="G101" s="17" t="n">
        <v>0.4</v>
      </c>
      <c r="H101" s="18">
        <f>CHOOSE(Control!$C$5,E101,F101,G101)</f>
        <v/>
      </c>
      <c r="I101" s="3" t="inlineStr">
        <is>
          <t>A</t>
        </is>
      </c>
      <c r="J101" s="2" t="inlineStr">
        <is>
          <t>placeholder — pending Stage 1 research</t>
        </is>
      </c>
      <c r="K101" s="2" t="inlineStr"/>
    </row>
    <row r="102">
      <c r="A102" s="11" t="n"/>
      <c r="B102" s="12" t="inlineStr">
        <is>
          <t>Livestock: Sheep</t>
        </is>
      </c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</row>
    <row r="103">
      <c r="A103" s="2" t="inlineStr">
        <is>
          <t>SH_BPREM</t>
        </is>
      </c>
      <c r="B103" s="2" t="inlineStr">
        <is>
          <t>Livestock: Sheep</t>
        </is>
      </c>
      <c r="C103" s="6" t="inlineStr">
        <is>
          <t>Price premium for breeding-stock sales</t>
        </is>
      </c>
      <c r="D103" s="2" t="inlineStr">
        <is>
          <t>share</t>
        </is>
      </c>
      <c r="E103" s="17" t="n">
        <v>0.2</v>
      </c>
      <c r="F103" s="17" t="n">
        <v>0.3</v>
      </c>
      <c r="G103" s="17" t="n">
        <v>0.4</v>
      </c>
      <c r="H103" s="18">
        <f>CHOOSE(Control!$C$5,E103,F103,G103)</f>
        <v/>
      </c>
      <c r="I103" s="3" t="inlineStr">
        <is>
          <t>A</t>
        </is>
      </c>
      <c r="J103" s="2" t="inlineStr">
        <is>
          <t>placeholder — pending Stage 1 research</t>
        </is>
      </c>
      <c r="K103" s="2" t="inlineStr"/>
    </row>
    <row r="104">
      <c r="A104" s="11" t="n"/>
      <c r="B104" s="12" t="inlineStr">
        <is>
          <t>Livestock: Goats</t>
        </is>
      </c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</row>
    <row r="105">
      <c r="A105" s="2" t="inlineStr">
        <is>
          <t>GT_DMI_A</t>
        </is>
      </c>
      <c r="B105" s="2" t="inlineStr">
        <is>
          <t>Livestock: Goats</t>
        </is>
      </c>
      <c r="C105" s="6" t="inlineStr">
        <is>
          <t>Dry-matter intake, adult</t>
        </is>
      </c>
      <c r="D105" s="2" t="inlineStr">
        <is>
          <t>kg DM per day</t>
        </is>
      </c>
      <c r="E105" s="15" t="n">
        <v>1.2</v>
      </c>
      <c r="F105" s="15" t="n">
        <v>1.1</v>
      </c>
      <c r="G105" s="15" t="n">
        <v>1</v>
      </c>
      <c r="H105" s="16">
        <f>CHOOSE(Control!$C$5,E105,F105,G105)</f>
        <v/>
      </c>
      <c r="I105" s="3" t="inlineStr">
        <is>
          <t>A</t>
        </is>
      </c>
      <c r="J105" s="2" t="inlineStr">
        <is>
          <t>placeholder — pending Stage 1 research</t>
        </is>
      </c>
      <c r="K105" s="2" t="inlineStr"/>
    </row>
    <row r="106">
      <c r="A106" s="11" t="n"/>
      <c r="B106" s="12" t="inlineStr">
        <is>
          <t>Livestock: Sheep</t>
        </is>
      </c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</row>
    <row r="107">
      <c r="A107" s="2" t="inlineStr">
        <is>
          <t>SH_DMI_A</t>
        </is>
      </c>
      <c r="B107" s="2" t="inlineStr">
        <is>
          <t>Livestock: Sheep</t>
        </is>
      </c>
      <c r="C107" s="6" t="inlineStr">
        <is>
          <t>Dry-matter intake, adult</t>
        </is>
      </c>
      <c r="D107" s="2" t="inlineStr">
        <is>
          <t>kg DM per day</t>
        </is>
      </c>
      <c r="E107" s="15" t="n">
        <v>1.3</v>
      </c>
      <c r="F107" s="15" t="n">
        <v>1.2</v>
      </c>
      <c r="G107" s="15" t="n">
        <v>1.1</v>
      </c>
      <c r="H107" s="16">
        <f>CHOOSE(Control!$C$5,E107,F107,G107)</f>
        <v/>
      </c>
      <c r="I107" s="3" t="inlineStr">
        <is>
          <t>A</t>
        </is>
      </c>
      <c r="J107" s="2" t="inlineStr">
        <is>
          <t>placeholder — pending Stage 1 research</t>
        </is>
      </c>
      <c r="K107" s="2" t="inlineStr"/>
    </row>
    <row r="108">
      <c r="A108" s="11" t="n"/>
      <c r="B108" s="12" t="inlineStr">
        <is>
          <t>Livestock: Goats</t>
        </is>
      </c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</row>
    <row r="109">
      <c r="A109" s="2" t="inlineStr">
        <is>
          <t>GT_DMI_Y</t>
        </is>
      </c>
      <c r="B109" s="2" t="inlineStr">
        <is>
          <t>Livestock: Goats</t>
        </is>
      </c>
      <c r="C109" s="6" t="inlineStr">
        <is>
          <t>Dry-matter intake, growing young</t>
        </is>
      </c>
      <c r="D109" s="2" t="inlineStr">
        <is>
          <t>kg DM per day</t>
        </is>
      </c>
      <c r="E109" s="15" t="n">
        <v>0.7</v>
      </c>
      <c r="F109" s="15" t="n">
        <v>0.6</v>
      </c>
      <c r="G109" s="15" t="n">
        <v>0.55</v>
      </c>
      <c r="H109" s="16">
        <f>CHOOSE(Control!$C$5,E109,F109,G109)</f>
        <v/>
      </c>
      <c r="I109" s="3" t="inlineStr">
        <is>
          <t>A</t>
        </is>
      </c>
      <c r="J109" s="2" t="inlineStr">
        <is>
          <t>placeholder — pending Stage 1 research</t>
        </is>
      </c>
      <c r="K109" s="2" t="inlineStr"/>
    </row>
    <row r="110">
      <c r="A110" s="11" t="n"/>
      <c r="B110" s="12" t="inlineStr">
        <is>
          <t>Livestock: Sheep</t>
        </is>
      </c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</row>
    <row r="111">
      <c r="A111" s="2" t="inlineStr">
        <is>
          <t>SH_DMI_Y</t>
        </is>
      </c>
      <c r="B111" s="2" t="inlineStr">
        <is>
          <t>Livestock: Sheep</t>
        </is>
      </c>
      <c r="C111" s="6" t="inlineStr">
        <is>
          <t>Dry-matter intake, growing young</t>
        </is>
      </c>
      <c r="D111" s="2" t="inlineStr">
        <is>
          <t>kg DM per day</t>
        </is>
      </c>
      <c r="E111" s="15" t="n">
        <v>0.7</v>
      </c>
      <c r="F111" s="15" t="n">
        <v>0.6</v>
      </c>
      <c r="G111" s="15" t="n">
        <v>0.55</v>
      </c>
      <c r="H111" s="16">
        <f>CHOOSE(Control!$C$5,E111,F111,G111)</f>
        <v/>
      </c>
      <c r="I111" s="3" t="inlineStr">
        <is>
          <t>A</t>
        </is>
      </c>
      <c r="J111" s="2" t="inlineStr">
        <is>
          <t>placeholder — pending Stage 1 research</t>
        </is>
      </c>
      <c r="K111" s="2" t="inlineStr"/>
    </row>
    <row r="112">
      <c r="A112" s="11" t="n"/>
      <c r="B112" s="12" t="inlineStr">
        <is>
          <t>Livestock: Goats</t>
        </is>
      </c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</row>
    <row r="113">
      <c r="A113" s="2" t="inlineStr">
        <is>
          <t>GT_RATIO</t>
        </is>
      </c>
      <c r="B113" s="2" t="inlineStr">
        <is>
          <t>Livestock: Goats</t>
        </is>
      </c>
      <c r="C113" s="6" t="inlineStr">
        <is>
          <t>Breeding females per male</t>
        </is>
      </c>
      <c r="D113" s="2" t="inlineStr">
        <is>
          <t>females</t>
        </is>
      </c>
      <c r="E113" s="13" t="n">
        <v>25</v>
      </c>
      <c r="F113" s="13" t="n">
        <v>25</v>
      </c>
      <c r="G113" s="13" t="n">
        <v>25</v>
      </c>
      <c r="H113" s="14">
        <f>CHOOSE(Control!$C$5,E113,F113,G113)</f>
        <v/>
      </c>
      <c r="I113" s="3" t="inlineStr">
        <is>
          <t>A</t>
        </is>
      </c>
      <c r="J113" s="2" t="inlineStr">
        <is>
          <t>placeholder — pending Stage 1 research</t>
        </is>
      </c>
      <c r="K113" s="2" t="inlineStr"/>
    </row>
    <row r="114">
      <c r="A114" s="11" t="n"/>
      <c r="B114" s="12" t="inlineStr">
        <is>
          <t>Livestock: Sheep</t>
        </is>
      </c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</row>
    <row r="115">
      <c r="A115" s="2" t="inlineStr">
        <is>
          <t>SH_RATIO</t>
        </is>
      </c>
      <c r="B115" s="2" t="inlineStr">
        <is>
          <t>Livestock: Sheep</t>
        </is>
      </c>
      <c r="C115" s="6" t="inlineStr">
        <is>
          <t>Breeding females per male</t>
        </is>
      </c>
      <c r="D115" s="2" t="inlineStr">
        <is>
          <t>females</t>
        </is>
      </c>
      <c r="E115" s="13" t="n">
        <v>30</v>
      </c>
      <c r="F115" s="13" t="n">
        <v>30</v>
      </c>
      <c r="G115" s="13" t="n">
        <v>30</v>
      </c>
      <c r="H115" s="14">
        <f>CHOOSE(Control!$C$5,E115,F115,G115)</f>
        <v/>
      </c>
      <c r="I115" s="3" t="inlineStr">
        <is>
          <t>A</t>
        </is>
      </c>
      <c r="J115" s="2" t="inlineStr">
        <is>
          <t>placeholder — pending Stage 1 research</t>
        </is>
      </c>
      <c r="K115" s="2" t="inlineStr"/>
    </row>
    <row r="116">
      <c r="A116" s="11" t="n"/>
      <c r="B116" s="12" t="inlineStr">
        <is>
          <t>Livestock: Goats</t>
        </is>
      </c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</row>
    <row r="117">
      <c r="A117" s="2" t="inlineStr">
        <is>
          <t>GT_FSHARE</t>
        </is>
      </c>
      <c r="B117" s="2" t="inlineStr">
        <is>
          <t>Livestock: Goats</t>
        </is>
      </c>
      <c r="C117" s="6" t="inlineStr">
        <is>
          <t>Female share of births</t>
        </is>
      </c>
      <c r="D117" s="2" t="inlineStr">
        <is>
          <t>share</t>
        </is>
      </c>
      <c r="E117" s="17" t="n">
        <v>0.5</v>
      </c>
      <c r="F117" s="17" t="n">
        <v>0.5</v>
      </c>
      <c r="G117" s="17" t="n">
        <v>0.5</v>
      </c>
      <c r="H117" s="18">
        <f>CHOOSE(Control!$C$5,E117,F117,G117)</f>
        <v/>
      </c>
      <c r="I117" s="3" t="inlineStr">
        <is>
          <t>A</t>
        </is>
      </c>
      <c r="J117" s="2" t="inlineStr">
        <is>
          <t>placeholder — pending Stage 1 research</t>
        </is>
      </c>
      <c r="K117" s="2" t="inlineStr"/>
    </row>
    <row r="118">
      <c r="A118" s="11" t="n"/>
      <c r="B118" s="12" t="inlineStr">
        <is>
          <t>Livestock: Sheep</t>
        </is>
      </c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</row>
    <row r="119">
      <c r="A119" s="2" t="inlineStr">
        <is>
          <t>SH_FSHARE</t>
        </is>
      </c>
      <c r="B119" s="2" t="inlineStr">
        <is>
          <t>Livestock: Sheep</t>
        </is>
      </c>
      <c r="C119" s="6" t="inlineStr">
        <is>
          <t>Female share of births</t>
        </is>
      </c>
      <c r="D119" s="2" t="inlineStr">
        <is>
          <t>share</t>
        </is>
      </c>
      <c r="E119" s="17" t="n">
        <v>0.5</v>
      </c>
      <c r="F119" s="17" t="n">
        <v>0.5</v>
      </c>
      <c r="G119" s="17" t="n">
        <v>0.5</v>
      </c>
      <c r="H119" s="18">
        <f>CHOOSE(Control!$C$5,E119,F119,G119)</f>
        <v/>
      </c>
      <c r="I119" s="3" t="inlineStr">
        <is>
          <t>A</t>
        </is>
      </c>
      <c r="J119" s="2" t="inlineStr">
        <is>
          <t>placeholder — pending Stage 1 research</t>
        </is>
      </c>
      <c r="K119" s="2" t="inlineStr"/>
    </row>
    <row r="120">
      <c r="A120" s="11" t="n"/>
      <c r="B120" s="12" t="inlineStr">
        <is>
          <t>Crop: Avocado (grafted)</t>
        </is>
      </c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</row>
    <row r="121">
      <c r="A121" s="2" t="inlineStr">
        <is>
          <t>AVO_DENS</t>
        </is>
      </c>
      <c r="B121" s="2" t="inlineStr">
        <is>
          <t>Crop: Avocado (grafted)</t>
        </is>
      </c>
      <c r="C121" s="6" t="inlineStr">
        <is>
          <t>Planting density</t>
        </is>
      </c>
      <c r="D121" s="2" t="inlineStr">
        <is>
          <t>plants per ha</t>
        </is>
      </c>
      <c r="E121" s="13" t="n">
        <v>204</v>
      </c>
      <c r="F121" s="13" t="n">
        <v>204</v>
      </c>
      <c r="G121" s="13" t="n">
        <v>204</v>
      </c>
      <c r="H121" s="14">
        <f>CHOOSE(Control!$C$5,E121,F121,G121)</f>
        <v/>
      </c>
      <c r="I121" s="3" t="inlineStr">
        <is>
          <t>A</t>
        </is>
      </c>
      <c r="J121" s="2" t="inlineStr">
        <is>
          <t>placeholder — pending Stage 1 research</t>
        </is>
      </c>
      <c r="K121" s="2" t="inlineStr">
        <is>
          <t>Design choice; confirm spacing</t>
        </is>
      </c>
    </row>
    <row r="122">
      <c r="A122" s="2" t="inlineStr">
        <is>
          <t>AVO_SURV</t>
        </is>
      </c>
      <c r="B122" s="2" t="inlineStr">
        <is>
          <t>Crop: Avocado (grafted)</t>
        </is>
      </c>
      <c r="C122" s="6" t="inlineStr">
        <is>
          <t>Final stand after gap filling</t>
        </is>
      </c>
      <c r="D122" s="2" t="inlineStr">
        <is>
          <t>share</t>
        </is>
      </c>
      <c r="E122" s="17" t="n">
        <v>0.8</v>
      </c>
      <c r="F122" s="17" t="n">
        <v>0.88</v>
      </c>
      <c r="G122" s="17" t="n">
        <v>0.93</v>
      </c>
      <c r="H122" s="18">
        <f>CHOOSE(Control!$C$5,E122,F122,G122)</f>
        <v/>
      </c>
      <c r="I122" s="3" t="inlineStr">
        <is>
          <t>A</t>
        </is>
      </c>
      <c r="J122" s="2" t="inlineStr">
        <is>
          <t>placeholder — pending Stage 1 research</t>
        </is>
      </c>
      <c r="K122" s="2" t="inlineStr"/>
    </row>
    <row r="123">
      <c r="A123" s="2" t="inlineStr">
        <is>
          <t>AVO_SEED</t>
        </is>
      </c>
      <c r="B123" s="2" t="inlineStr">
        <is>
          <t>Crop: Avocado (grafted)</t>
        </is>
      </c>
      <c r="C123" s="6" t="inlineStr">
        <is>
          <t>Seedling or grafted plant</t>
        </is>
      </c>
      <c r="D123" s="2" t="inlineStr">
        <is>
          <t>RWF each</t>
        </is>
      </c>
      <c r="E123" s="13" t="n">
        <v>3000</v>
      </c>
      <c r="F123" s="13" t="n">
        <v>2500</v>
      </c>
      <c r="G123" s="13" t="n">
        <v>2000</v>
      </c>
      <c r="H123" s="14">
        <f>CHOOSE(Control!$C$5,E123,F123,G123)</f>
        <v/>
      </c>
      <c r="I123" s="3" t="inlineStr">
        <is>
          <t>A</t>
        </is>
      </c>
      <c r="J123" s="2" t="inlineStr">
        <is>
          <t>placeholder — pending Stage 1 research</t>
        </is>
      </c>
      <c r="K123" s="2" t="inlineStr"/>
    </row>
    <row r="124">
      <c r="A124" s="2" t="inlineStr">
        <is>
          <t>AVO_PLANT</t>
        </is>
      </c>
      <c r="B124" s="2" t="inlineStr">
        <is>
          <t>Crop: Avocado (grafted)</t>
        </is>
      </c>
      <c r="C124" s="6" t="inlineStr">
        <is>
          <t>Planting (hole, compost, labour, trellis)</t>
        </is>
      </c>
      <c r="D124" s="2" t="inlineStr">
        <is>
          <t>RWF per plant</t>
        </is>
      </c>
      <c r="E124" s="13" t="n">
        <v>1500</v>
      </c>
      <c r="F124" s="13" t="n">
        <v>1200</v>
      </c>
      <c r="G124" s="13" t="n">
        <v>1000</v>
      </c>
      <c r="H124" s="14">
        <f>CHOOSE(Control!$C$5,E124,F124,G124)</f>
        <v/>
      </c>
      <c r="I124" s="3" t="inlineStr">
        <is>
          <t>A</t>
        </is>
      </c>
      <c r="J124" s="2" t="inlineStr">
        <is>
          <t>placeholder — pending Stage 1 research</t>
        </is>
      </c>
      <c r="K124" s="2" t="inlineStr"/>
    </row>
    <row r="125">
      <c r="A125" s="2" t="inlineStr">
        <is>
          <t>AVO_YMULT</t>
        </is>
      </c>
      <c r="B125" s="2" t="inlineStr">
        <is>
          <t>Crop: Avocado (grafted)</t>
        </is>
      </c>
      <c r="C125" s="6" t="inlineStr">
        <is>
          <t>Yield multiplier on the curve</t>
        </is>
      </c>
      <c r="D125" s="2" t="inlineStr">
        <is>
          <t>factor</t>
        </is>
      </c>
      <c r="E125" s="15" t="n">
        <v>0.7</v>
      </c>
      <c r="F125" s="15" t="n">
        <v>1</v>
      </c>
      <c r="G125" s="15" t="n">
        <v>1.2</v>
      </c>
      <c r="H125" s="16">
        <f>CHOOSE(Control!$C$5,E125,F125,G125)</f>
        <v/>
      </c>
      <c r="I125" s="3" t="inlineStr">
        <is>
          <t>A</t>
        </is>
      </c>
      <c r="J125" s="2" t="inlineStr">
        <is>
          <t>placeholder — pending Stage 1 research</t>
        </is>
      </c>
      <c r="K125" s="2" t="inlineStr"/>
    </row>
    <row r="126">
      <c r="A126" s="2" t="inlineStr">
        <is>
          <t>AVO_MKT</t>
        </is>
      </c>
      <c r="B126" s="2" t="inlineStr">
        <is>
          <t>Crop: Avocado (grafted)</t>
        </is>
      </c>
      <c r="C126" s="6" t="inlineStr">
        <is>
          <t>Marketable share of harvest</t>
        </is>
      </c>
      <c r="D126" s="2" t="inlineStr">
        <is>
          <t>share</t>
        </is>
      </c>
      <c r="E126" s="17" t="n">
        <v>0.75</v>
      </c>
      <c r="F126" s="17" t="n">
        <v>0.85</v>
      </c>
      <c r="G126" s="17" t="n">
        <v>0.9</v>
      </c>
      <c r="H126" s="18">
        <f>CHOOSE(Control!$C$5,E126,F126,G126)</f>
        <v/>
      </c>
      <c r="I126" s="3" t="inlineStr">
        <is>
          <t>A</t>
        </is>
      </c>
      <c r="J126" s="2" t="inlineStr">
        <is>
          <t>placeholder — pending Stage 1 research</t>
        </is>
      </c>
      <c r="K126" s="2" t="inlineStr"/>
    </row>
    <row r="127">
      <c r="A127" s="2" t="inlineStr">
        <is>
          <t>AVO_PRICE</t>
        </is>
      </c>
      <c r="B127" s="2" t="inlineStr">
        <is>
          <t>Crop: Avocado (grafted)</t>
        </is>
      </c>
      <c r="C127" s="6" t="inlineStr">
        <is>
          <t>Farm-gate price</t>
        </is>
      </c>
      <c r="D127" s="2" t="inlineStr">
        <is>
          <t>RWF per kg</t>
        </is>
      </c>
      <c r="E127" s="13" t="n">
        <v>300</v>
      </c>
      <c r="F127" s="13" t="n">
        <v>400</v>
      </c>
      <c r="G127" s="13" t="n">
        <v>500</v>
      </c>
      <c r="H127" s="14">
        <f>CHOOSE(Control!$C$5,E127,F127,G127)</f>
        <v/>
      </c>
      <c r="I127" s="3" t="inlineStr">
        <is>
          <t>A</t>
        </is>
      </c>
      <c r="J127" s="2" t="inlineStr">
        <is>
          <t>placeholder — pending Stage 1 research</t>
        </is>
      </c>
      <c r="K127" s="2" t="inlineStr"/>
    </row>
    <row r="128">
      <c r="A128" s="2" t="inlineStr">
        <is>
          <t>AVO_CYCLE</t>
        </is>
      </c>
      <c r="B128" s="2" t="inlineStr">
        <is>
          <t>Crop: Avocado (grafted)</t>
        </is>
      </c>
      <c r="C128" s="6" t="inlineStr">
        <is>
          <t>Replant cycle (0 = perennial)</t>
        </is>
      </c>
      <c r="D128" s="2" t="inlineStr">
        <is>
          <t>years</t>
        </is>
      </c>
      <c r="E128" s="13" t="n">
        <v>0</v>
      </c>
      <c r="F128" s="13" t="n">
        <v>0</v>
      </c>
      <c r="G128" s="13" t="n">
        <v>0</v>
      </c>
      <c r="H128" s="14">
        <f>CHOOSE(Control!$C$5,E128,F128,G128)</f>
        <v/>
      </c>
      <c r="I128" s="3" t="inlineStr">
        <is>
          <t>A</t>
        </is>
      </c>
      <c r="J128" s="2" t="inlineStr">
        <is>
          <t>placeholder — pending Stage 1 research</t>
        </is>
      </c>
      <c r="K128" s="2" t="inlineStr"/>
    </row>
    <row r="129">
      <c r="A129" s="11" t="n"/>
      <c r="B129" s="12" t="inlineStr">
        <is>
          <t>Crop: Mango (grafted)</t>
        </is>
      </c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</row>
    <row r="130">
      <c r="A130" s="2" t="inlineStr">
        <is>
          <t>MAN_DENS</t>
        </is>
      </c>
      <c r="B130" s="2" t="inlineStr">
        <is>
          <t>Crop: Mango (grafted)</t>
        </is>
      </c>
      <c r="C130" s="6" t="inlineStr">
        <is>
          <t>Planting density</t>
        </is>
      </c>
      <c r="D130" s="2" t="inlineStr">
        <is>
          <t>plants per ha</t>
        </is>
      </c>
      <c r="E130" s="13" t="n">
        <v>156</v>
      </c>
      <c r="F130" s="13" t="n">
        <v>156</v>
      </c>
      <c r="G130" s="13" t="n">
        <v>156</v>
      </c>
      <c r="H130" s="14">
        <f>CHOOSE(Control!$C$5,E130,F130,G130)</f>
        <v/>
      </c>
      <c r="I130" s="3" t="inlineStr">
        <is>
          <t>A</t>
        </is>
      </c>
      <c r="J130" s="2" t="inlineStr">
        <is>
          <t>placeholder — pending Stage 1 research</t>
        </is>
      </c>
      <c r="K130" s="2" t="inlineStr">
        <is>
          <t>Design choice; confirm spacing</t>
        </is>
      </c>
    </row>
    <row r="131">
      <c r="A131" s="2" t="inlineStr">
        <is>
          <t>MAN_SURV</t>
        </is>
      </c>
      <c r="B131" s="2" t="inlineStr">
        <is>
          <t>Crop: Mango (grafted)</t>
        </is>
      </c>
      <c r="C131" s="6" t="inlineStr">
        <is>
          <t>Final stand after gap filling</t>
        </is>
      </c>
      <c r="D131" s="2" t="inlineStr">
        <is>
          <t>share</t>
        </is>
      </c>
      <c r="E131" s="17" t="n">
        <v>0.8</v>
      </c>
      <c r="F131" s="17" t="n">
        <v>0.88</v>
      </c>
      <c r="G131" s="17" t="n">
        <v>0.93</v>
      </c>
      <c r="H131" s="18">
        <f>CHOOSE(Control!$C$5,E131,F131,G131)</f>
        <v/>
      </c>
      <c r="I131" s="3" t="inlineStr">
        <is>
          <t>A</t>
        </is>
      </c>
      <c r="J131" s="2" t="inlineStr">
        <is>
          <t>placeholder — pending Stage 1 research</t>
        </is>
      </c>
      <c r="K131" s="2" t="inlineStr"/>
    </row>
    <row r="132">
      <c r="A132" s="2" t="inlineStr">
        <is>
          <t>MAN_SEED</t>
        </is>
      </c>
      <c r="B132" s="2" t="inlineStr">
        <is>
          <t>Crop: Mango (grafted)</t>
        </is>
      </c>
      <c r="C132" s="6" t="inlineStr">
        <is>
          <t>Seedling or grafted plant</t>
        </is>
      </c>
      <c r="D132" s="2" t="inlineStr">
        <is>
          <t>RWF each</t>
        </is>
      </c>
      <c r="E132" s="13" t="n">
        <v>2500</v>
      </c>
      <c r="F132" s="13" t="n">
        <v>2000</v>
      </c>
      <c r="G132" s="13" t="n">
        <v>1500</v>
      </c>
      <c r="H132" s="14">
        <f>CHOOSE(Control!$C$5,E132,F132,G132)</f>
        <v/>
      </c>
      <c r="I132" s="3" t="inlineStr">
        <is>
          <t>A</t>
        </is>
      </c>
      <c r="J132" s="2" t="inlineStr">
        <is>
          <t>placeholder — pending Stage 1 research</t>
        </is>
      </c>
      <c r="K132" s="2" t="inlineStr"/>
    </row>
    <row r="133">
      <c r="A133" s="2" t="inlineStr">
        <is>
          <t>MAN_PLANT</t>
        </is>
      </c>
      <c r="B133" s="2" t="inlineStr">
        <is>
          <t>Crop: Mango (grafted)</t>
        </is>
      </c>
      <c r="C133" s="6" t="inlineStr">
        <is>
          <t>Planting (hole, compost, labour, trellis)</t>
        </is>
      </c>
      <c r="D133" s="2" t="inlineStr">
        <is>
          <t>RWF per plant</t>
        </is>
      </c>
      <c r="E133" s="13" t="n">
        <v>1500</v>
      </c>
      <c r="F133" s="13" t="n">
        <v>1200</v>
      </c>
      <c r="G133" s="13" t="n">
        <v>1000</v>
      </c>
      <c r="H133" s="14">
        <f>CHOOSE(Control!$C$5,E133,F133,G133)</f>
        <v/>
      </c>
      <c r="I133" s="3" t="inlineStr">
        <is>
          <t>A</t>
        </is>
      </c>
      <c r="J133" s="2" t="inlineStr">
        <is>
          <t>placeholder — pending Stage 1 research</t>
        </is>
      </c>
      <c r="K133" s="2" t="inlineStr"/>
    </row>
    <row r="134">
      <c r="A134" s="2" t="inlineStr">
        <is>
          <t>MAN_YMULT</t>
        </is>
      </c>
      <c r="B134" s="2" t="inlineStr">
        <is>
          <t>Crop: Mango (grafted)</t>
        </is>
      </c>
      <c r="C134" s="6" t="inlineStr">
        <is>
          <t>Yield multiplier on the curve</t>
        </is>
      </c>
      <c r="D134" s="2" t="inlineStr">
        <is>
          <t>factor</t>
        </is>
      </c>
      <c r="E134" s="15" t="n">
        <v>0.7</v>
      </c>
      <c r="F134" s="15" t="n">
        <v>1</v>
      </c>
      <c r="G134" s="15" t="n">
        <v>1.2</v>
      </c>
      <c r="H134" s="16">
        <f>CHOOSE(Control!$C$5,E134,F134,G134)</f>
        <v/>
      </c>
      <c r="I134" s="3" t="inlineStr">
        <is>
          <t>A</t>
        </is>
      </c>
      <c r="J134" s="2" t="inlineStr">
        <is>
          <t>placeholder — pending Stage 1 research</t>
        </is>
      </c>
      <c r="K134" s="2" t="inlineStr"/>
    </row>
    <row r="135">
      <c r="A135" s="2" t="inlineStr">
        <is>
          <t>MAN_MKT</t>
        </is>
      </c>
      <c r="B135" s="2" t="inlineStr">
        <is>
          <t>Crop: Mango (grafted)</t>
        </is>
      </c>
      <c r="C135" s="6" t="inlineStr">
        <is>
          <t>Marketable share of harvest</t>
        </is>
      </c>
      <c r="D135" s="2" t="inlineStr">
        <is>
          <t>share</t>
        </is>
      </c>
      <c r="E135" s="17" t="n">
        <v>0.7</v>
      </c>
      <c r="F135" s="17" t="n">
        <v>0.8</v>
      </c>
      <c r="G135" s="17" t="n">
        <v>0.85</v>
      </c>
      <c r="H135" s="18">
        <f>CHOOSE(Control!$C$5,E135,F135,G135)</f>
        <v/>
      </c>
      <c r="I135" s="3" t="inlineStr">
        <is>
          <t>A</t>
        </is>
      </c>
      <c r="J135" s="2" t="inlineStr">
        <is>
          <t>placeholder — pending Stage 1 research</t>
        </is>
      </c>
      <c r="K135" s="2" t="inlineStr"/>
    </row>
    <row r="136">
      <c r="A136" s="2" t="inlineStr">
        <is>
          <t>MAN_PRICE</t>
        </is>
      </c>
      <c r="B136" s="2" t="inlineStr">
        <is>
          <t>Crop: Mango (grafted)</t>
        </is>
      </c>
      <c r="C136" s="6" t="inlineStr">
        <is>
          <t>Farm-gate price</t>
        </is>
      </c>
      <c r="D136" s="2" t="inlineStr">
        <is>
          <t>RWF per kg</t>
        </is>
      </c>
      <c r="E136" s="13" t="n">
        <v>250</v>
      </c>
      <c r="F136" s="13" t="n">
        <v>350</v>
      </c>
      <c r="G136" s="13" t="n">
        <v>450</v>
      </c>
      <c r="H136" s="14">
        <f>CHOOSE(Control!$C$5,E136,F136,G136)</f>
        <v/>
      </c>
      <c r="I136" s="3" t="inlineStr">
        <is>
          <t>A</t>
        </is>
      </c>
      <c r="J136" s="2" t="inlineStr">
        <is>
          <t>placeholder — pending Stage 1 research</t>
        </is>
      </c>
      <c r="K136" s="2" t="inlineStr"/>
    </row>
    <row r="137">
      <c r="A137" s="2" t="inlineStr">
        <is>
          <t>MAN_CYCLE</t>
        </is>
      </c>
      <c r="B137" s="2" t="inlineStr">
        <is>
          <t>Crop: Mango (grafted)</t>
        </is>
      </c>
      <c r="C137" s="6" t="inlineStr">
        <is>
          <t>Replant cycle (0 = perennial)</t>
        </is>
      </c>
      <c r="D137" s="2" t="inlineStr">
        <is>
          <t>years</t>
        </is>
      </c>
      <c r="E137" s="13" t="n">
        <v>0</v>
      </c>
      <c r="F137" s="13" t="n">
        <v>0</v>
      </c>
      <c r="G137" s="13" t="n">
        <v>0</v>
      </c>
      <c r="H137" s="14">
        <f>CHOOSE(Control!$C$5,E137,F137,G137)</f>
        <v/>
      </c>
      <c r="I137" s="3" t="inlineStr">
        <is>
          <t>A</t>
        </is>
      </c>
      <c r="J137" s="2" t="inlineStr">
        <is>
          <t>placeholder — pending Stage 1 research</t>
        </is>
      </c>
      <c r="K137" s="2" t="inlineStr"/>
    </row>
    <row r="138">
      <c r="A138" s="11" t="n"/>
      <c r="B138" s="12" t="inlineStr">
        <is>
          <t>Crop: Passion fruit</t>
        </is>
      </c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</row>
    <row r="139">
      <c r="A139" s="2" t="inlineStr">
        <is>
          <t>PAS_DENS</t>
        </is>
      </c>
      <c r="B139" s="2" t="inlineStr">
        <is>
          <t>Crop: Passion fruit</t>
        </is>
      </c>
      <c r="C139" s="6" t="inlineStr">
        <is>
          <t>Planting density</t>
        </is>
      </c>
      <c r="D139" s="2" t="inlineStr">
        <is>
          <t>plants per ha</t>
        </is>
      </c>
      <c r="E139" s="13" t="n">
        <v>1111</v>
      </c>
      <c r="F139" s="13" t="n">
        <v>1111</v>
      </c>
      <c r="G139" s="13" t="n">
        <v>1111</v>
      </c>
      <c r="H139" s="14">
        <f>CHOOSE(Control!$C$5,E139,F139,G139)</f>
        <v/>
      </c>
      <c r="I139" s="3" t="inlineStr">
        <is>
          <t>A</t>
        </is>
      </c>
      <c r="J139" s="2" t="inlineStr">
        <is>
          <t>placeholder — pending Stage 1 research</t>
        </is>
      </c>
      <c r="K139" s="2" t="inlineStr">
        <is>
          <t>Design choice; confirm spacing</t>
        </is>
      </c>
    </row>
    <row r="140">
      <c r="A140" s="2" t="inlineStr">
        <is>
          <t>PAS_SURV</t>
        </is>
      </c>
      <c r="B140" s="2" t="inlineStr">
        <is>
          <t>Crop: Passion fruit</t>
        </is>
      </c>
      <c r="C140" s="6" t="inlineStr">
        <is>
          <t>Final stand after gap filling</t>
        </is>
      </c>
      <c r="D140" s="2" t="inlineStr">
        <is>
          <t>share</t>
        </is>
      </c>
      <c r="E140" s="17" t="n">
        <v>0.75</v>
      </c>
      <c r="F140" s="17" t="n">
        <v>0.85</v>
      </c>
      <c r="G140" s="17" t="n">
        <v>0.9</v>
      </c>
      <c r="H140" s="18">
        <f>CHOOSE(Control!$C$5,E140,F140,G140)</f>
        <v/>
      </c>
      <c r="I140" s="3" t="inlineStr">
        <is>
          <t>A</t>
        </is>
      </c>
      <c r="J140" s="2" t="inlineStr">
        <is>
          <t>placeholder — pending Stage 1 research</t>
        </is>
      </c>
      <c r="K140" s="2" t="inlineStr"/>
    </row>
    <row r="141">
      <c r="A141" s="2" t="inlineStr">
        <is>
          <t>PAS_SEED</t>
        </is>
      </c>
      <c r="B141" s="2" t="inlineStr">
        <is>
          <t>Crop: Passion fruit</t>
        </is>
      </c>
      <c r="C141" s="6" t="inlineStr">
        <is>
          <t>Seedling or grafted plant</t>
        </is>
      </c>
      <c r="D141" s="2" t="inlineStr">
        <is>
          <t>RWF each</t>
        </is>
      </c>
      <c r="E141" s="13" t="n">
        <v>500</v>
      </c>
      <c r="F141" s="13" t="n">
        <v>300</v>
      </c>
      <c r="G141" s="13" t="n">
        <v>200</v>
      </c>
      <c r="H141" s="14">
        <f>CHOOSE(Control!$C$5,E141,F141,G141)</f>
        <v/>
      </c>
      <c r="I141" s="3" t="inlineStr">
        <is>
          <t>A</t>
        </is>
      </c>
      <c r="J141" s="2" t="inlineStr">
        <is>
          <t>placeholder — pending Stage 1 research</t>
        </is>
      </c>
      <c r="K141" s="2" t="inlineStr"/>
    </row>
    <row r="142">
      <c r="A142" s="2" t="inlineStr">
        <is>
          <t>PAS_PLANT</t>
        </is>
      </c>
      <c r="B142" s="2" t="inlineStr">
        <is>
          <t>Crop: Passion fruit</t>
        </is>
      </c>
      <c r="C142" s="6" t="inlineStr">
        <is>
          <t>Planting (hole, compost, labour, trellis)</t>
        </is>
      </c>
      <c r="D142" s="2" t="inlineStr">
        <is>
          <t>RWF per plant</t>
        </is>
      </c>
      <c r="E142" s="13" t="n">
        <v>2500</v>
      </c>
      <c r="F142" s="13" t="n">
        <v>2000</v>
      </c>
      <c r="G142" s="13" t="n">
        <v>1600</v>
      </c>
      <c r="H142" s="14">
        <f>CHOOSE(Control!$C$5,E142,F142,G142)</f>
        <v/>
      </c>
      <c r="I142" s="3" t="inlineStr">
        <is>
          <t>A</t>
        </is>
      </c>
      <c r="J142" s="2" t="inlineStr">
        <is>
          <t>placeholder — pending Stage 1 research</t>
        </is>
      </c>
      <c r="K142" s="2" t="inlineStr"/>
    </row>
    <row r="143">
      <c r="A143" s="2" t="inlineStr">
        <is>
          <t>PAS_YMULT</t>
        </is>
      </c>
      <c r="B143" s="2" t="inlineStr">
        <is>
          <t>Crop: Passion fruit</t>
        </is>
      </c>
      <c r="C143" s="6" t="inlineStr">
        <is>
          <t>Yield multiplier on the curve</t>
        </is>
      </c>
      <c r="D143" s="2" t="inlineStr">
        <is>
          <t>factor</t>
        </is>
      </c>
      <c r="E143" s="15" t="n">
        <v>0.7</v>
      </c>
      <c r="F143" s="15" t="n">
        <v>1</v>
      </c>
      <c r="G143" s="15" t="n">
        <v>1.2</v>
      </c>
      <c r="H143" s="16">
        <f>CHOOSE(Control!$C$5,E143,F143,G143)</f>
        <v/>
      </c>
      <c r="I143" s="3" t="inlineStr">
        <is>
          <t>A</t>
        </is>
      </c>
      <c r="J143" s="2" t="inlineStr">
        <is>
          <t>placeholder — pending Stage 1 research</t>
        </is>
      </c>
      <c r="K143" s="2" t="inlineStr"/>
    </row>
    <row r="144">
      <c r="A144" s="2" t="inlineStr">
        <is>
          <t>PAS_MKT</t>
        </is>
      </c>
      <c r="B144" s="2" t="inlineStr">
        <is>
          <t>Crop: Passion fruit</t>
        </is>
      </c>
      <c r="C144" s="6" t="inlineStr">
        <is>
          <t>Marketable share of harvest</t>
        </is>
      </c>
      <c r="D144" s="2" t="inlineStr">
        <is>
          <t>share</t>
        </is>
      </c>
      <c r="E144" s="17" t="n">
        <v>0.75</v>
      </c>
      <c r="F144" s="17" t="n">
        <v>0.85</v>
      </c>
      <c r="G144" s="17" t="n">
        <v>0.9</v>
      </c>
      <c r="H144" s="18">
        <f>CHOOSE(Control!$C$5,E144,F144,G144)</f>
        <v/>
      </c>
      <c r="I144" s="3" t="inlineStr">
        <is>
          <t>A</t>
        </is>
      </c>
      <c r="J144" s="2" t="inlineStr">
        <is>
          <t>placeholder — pending Stage 1 research</t>
        </is>
      </c>
      <c r="K144" s="2" t="inlineStr"/>
    </row>
    <row r="145">
      <c r="A145" s="2" t="inlineStr">
        <is>
          <t>PAS_PRICE</t>
        </is>
      </c>
      <c r="B145" s="2" t="inlineStr">
        <is>
          <t>Crop: Passion fruit</t>
        </is>
      </c>
      <c r="C145" s="6" t="inlineStr">
        <is>
          <t>Farm-gate price</t>
        </is>
      </c>
      <c r="D145" s="2" t="inlineStr">
        <is>
          <t>RWF per kg</t>
        </is>
      </c>
      <c r="E145" s="13" t="n">
        <v>500</v>
      </c>
      <c r="F145" s="13" t="n">
        <v>700</v>
      </c>
      <c r="G145" s="13" t="n">
        <v>900</v>
      </c>
      <c r="H145" s="14">
        <f>CHOOSE(Control!$C$5,E145,F145,G145)</f>
        <v/>
      </c>
      <c r="I145" s="3" t="inlineStr">
        <is>
          <t>A</t>
        </is>
      </c>
      <c r="J145" s="2" t="inlineStr">
        <is>
          <t>placeholder — pending Stage 1 research</t>
        </is>
      </c>
      <c r="K145" s="2" t="inlineStr"/>
    </row>
    <row r="146">
      <c r="A146" s="2" t="inlineStr">
        <is>
          <t>PAS_CYCLE</t>
        </is>
      </c>
      <c r="B146" s="2" t="inlineStr">
        <is>
          <t>Crop: Passion fruit</t>
        </is>
      </c>
      <c r="C146" s="6" t="inlineStr">
        <is>
          <t>Replant cycle (0 = perennial)</t>
        </is>
      </c>
      <c r="D146" s="2" t="inlineStr">
        <is>
          <t>years</t>
        </is>
      </c>
      <c r="E146" s="13" t="n">
        <v>3</v>
      </c>
      <c r="F146" s="13" t="n">
        <v>3</v>
      </c>
      <c r="G146" s="13" t="n">
        <v>3</v>
      </c>
      <c r="H146" s="14">
        <f>CHOOSE(Control!$C$5,E146,F146,G146)</f>
        <v/>
      </c>
      <c r="I146" s="3" t="inlineStr">
        <is>
          <t>A</t>
        </is>
      </c>
      <c r="J146" s="2" t="inlineStr">
        <is>
          <t>placeholder — pending Stage 1 research</t>
        </is>
      </c>
      <c r="K146" s="2" t="inlineStr"/>
    </row>
    <row r="147">
      <c r="A147" s="11" t="n"/>
      <c r="B147" s="12" t="inlineStr">
        <is>
          <t>Crop: Papaya</t>
        </is>
      </c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</row>
    <row r="148">
      <c r="A148" s="2" t="inlineStr">
        <is>
          <t>PAP_DENS</t>
        </is>
      </c>
      <c r="B148" s="2" t="inlineStr">
        <is>
          <t>Crop: Papaya</t>
        </is>
      </c>
      <c r="C148" s="6" t="inlineStr">
        <is>
          <t>Planting density</t>
        </is>
      </c>
      <c r="D148" s="2" t="inlineStr">
        <is>
          <t>plants per ha</t>
        </is>
      </c>
      <c r="E148" s="13" t="n">
        <v>1667</v>
      </c>
      <c r="F148" s="13" t="n">
        <v>1667</v>
      </c>
      <c r="G148" s="13" t="n">
        <v>1667</v>
      </c>
      <c r="H148" s="14">
        <f>CHOOSE(Control!$C$5,E148,F148,G148)</f>
        <v/>
      </c>
      <c r="I148" s="3" t="inlineStr">
        <is>
          <t>A</t>
        </is>
      </c>
      <c r="J148" s="2" t="inlineStr">
        <is>
          <t>placeholder — pending Stage 1 research</t>
        </is>
      </c>
      <c r="K148" s="2" t="inlineStr">
        <is>
          <t>Design choice; confirm spacing</t>
        </is>
      </c>
    </row>
    <row r="149">
      <c r="A149" s="2" t="inlineStr">
        <is>
          <t>PAP_SURV</t>
        </is>
      </c>
      <c r="B149" s="2" t="inlineStr">
        <is>
          <t>Crop: Papaya</t>
        </is>
      </c>
      <c r="C149" s="6" t="inlineStr">
        <is>
          <t>Final stand after gap filling</t>
        </is>
      </c>
      <c r="D149" s="2" t="inlineStr">
        <is>
          <t>share</t>
        </is>
      </c>
      <c r="E149" s="17" t="n">
        <v>0.75</v>
      </c>
      <c r="F149" s="17" t="n">
        <v>0.85</v>
      </c>
      <c r="G149" s="17" t="n">
        <v>0.9</v>
      </c>
      <c r="H149" s="18">
        <f>CHOOSE(Control!$C$5,E149,F149,G149)</f>
        <v/>
      </c>
      <c r="I149" s="3" t="inlineStr">
        <is>
          <t>A</t>
        </is>
      </c>
      <c r="J149" s="2" t="inlineStr">
        <is>
          <t>placeholder — pending Stage 1 research</t>
        </is>
      </c>
      <c r="K149" s="2" t="inlineStr"/>
    </row>
    <row r="150">
      <c r="A150" s="2" t="inlineStr">
        <is>
          <t>PAP_SEED</t>
        </is>
      </c>
      <c r="B150" s="2" t="inlineStr">
        <is>
          <t>Crop: Papaya</t>
        </is>
      </c>
      <c r="C150" s="6" t="inlineStr">
        <is>
          <t>Seedling or grafted plant</t>
        </is>
      </c>
      <c r="D150" s="2" t="inlineStr">
        <is>
          <t>RWF each</t>
        </is>
      </c>
      <c r="E150" s="13" t="n">
        <v>400</v>
      </c>
      <c r="F150" s="13" t="n">
        <v>300</v>
      </c>
      <c r="G150" s="13" t="n">
        <v>200</v>
      </c>
      <c r="H150" s="14">
        <f>CHOOSE(Control!$C$5,E150,F150,G150)</f>
        <v/>
      </c>
      <c r="I150" s="3" t="inlineStr">
        <is>
          <t>A</t>
        </is>
      </c>
      <c r="J150" s="2" t="inlineStr">
        <is>
          <t>placeholder — pending Stage 1 research</t>
        </is>
      </c>
      <c r="K150" s="2" t="inlineStr"/>
    </row>
    <row r="151">
      <c r="A151" s="2" t="inlineStr">
        <is>
          <t>PAP_PLANT</t>
        </is>
      </c>
      <c r="B151" s="2" t="inlineStr">
        <is>
          <t>Crop: Papaya</t>
        </is>
      </c>
      <c r="C151" s="6" t="inlineStr">
        <is>
          <t>Planting (hole, compost, labour, trellis)</t>
        </is>
      </c>
      <c r="D151" s="2" t="inlineStr">
        <is>
          <t>RWF per plant</t>
        </is>
      </c>
      <c r="E151" s="13" t="n">
        <v>800</v>
      </c>
      <c r="F151" s="13" t="n">
        <v>600</v>
      </c>
      <c r="G151" s="13" t="n">
        <v>500</v>
      </c>
      <c r="H151" s="14">
        <f>CHOOSE(Control!$C$5,E151,F151,G151)</f>
        <v/>
      </c>
      <c r="I151" s="3" t="inlineStr">
        <is>
          <t>A</t>
        </is>
      </c>
      <c r="J151" s="2" t="inlineStr">
        <is>
          <t>placeholder — pending Stage 1 research</t>
        </is>
      </c>
      <c r="K151" s="2" t="inlineStr"/>
    </row>
    <row r="152">
      <c r="A152" s="2" t="inlineStr">
        <is>
          <t>PAP_YMULT</t>
        </is>
      </c>
      <c r="B152" s="2" t="inlineStr">
        <is>
          <t>Crop: Papaya</t>
        </is>
      </c>
      <c r="C152" s="6" t="inlineStr">
        <is>
          <t>Yield multiplier on the curve</t>
        </is>
      </c>
      <c r="D152" s="2" t="inlineStr">
        <is>
          <t>factor</t>
        </is>
      </c>
      <c r="E152" s="15" t="n">
        <v>0.7</v>
      </c>
      <c r="F152" s="15" t="n">
        <v>1</v>
      </c>
      <c r="G152" s="15" t="n">
        <v>1.2</v>
      </c>
      <c r="H152" s="16">
        <f>CHOOSE(Control!$C$5,E152,F152,G152)</f>
        <v/>
      </c>
      <c r="I152" s="3" t="inlineStr">
        <is>
          <t>A</t>
        </is>
      </c>
      <c r="J152" s="2" t="inlineStr">
        <is>
          <t>placeholder — pending Stage 1 research</t>
        </is>
      </c>
      <c r="K152" s="2" t="inlineStr"/>
    </row>
    <row r="153">
      <c r="A153" s="2" t="inlineStr">
        <is>
          <t>PAP_MKT</t>
        </is>
      </c>
      <c r="B153" s="2" t="inlineStr">
        <is>
          <t>Crop: Papaya</t>
        </is>
      </c>
      <c r="C153" s="6" t="inlineStr">
        <is>
          <t>Marketable share of harvest</t>
        </is>
      </c>
      <c r="D153" s="2" t="inlineStr">
        <is>
          <t>share</t>
        </is>
      </c>
      <c r="E153" s="17" t="n">
        <v>0.7</v>
      </c>
      <c r="F153" s="17" t="n">
        <v>0.8</v>
      </c>
      <c r="G153" s="17" t="n">
        <v>0.85</v>
      </c>
      <c r="H153" s="18">
        <f>CHOOSE(Control!$C$5,E153,F153,G153)</f>
        <v/>
      </c>
      <c r="I153" s="3" t="inlineStr">
        <is>
          <t>A</t>
        </is>
      </c>
      <c r="J153" s="2" t="inlineStr">
        <is>
          <t>placeholder — pending Stage 1 research</t>
        </is>
      </c>
      <c r="K153" s="2" t="inlineStr"/>
    </row>
    <row r="154">
      <c r="A154" s="2" t="inlineStr">
        <is>
          <t>PAP_PRICE</t>
        </is>
      </c>
      <c r="B154" s="2" t="inlineStr">
        <is>
          <t>Crop: Papaya</t>
        </is>
      </c>
      <c r="C154" s="6" t="inlineStr">
        <is>
          <t>Farm-gate price</t>
        </is>
      </c>
      <c r="D154" s="2" t="inlineStr">
        <is>
          <t>RWF per kg</t>
        </is>
      </c>
      <c r="E154" s="13" t="n">
        <v>200</v>
      </c>
      <c r="F154" s="13" t="n">
        <v>300</v>
      </c>
      <c r="G154" s="13" t="n">
        <v>400</v>
      </c>
      <c r="H154" s="14">
        <f>CHOOSE(Control!$C$5,E154,F154,G154)</f>
        <v/>
      </c>
      <c r="I154" s="3" t="inlineStr">
        <is>
          <t>A</t>
        </is>
      </c>
      <c r="J154" s="2" t="inlineStr">
        <is>
          <t>placeholder — pending Stage 1 research</t>
        </is>
      </c>
      <c r="K154" s="2" t="inlineStr"/>
    </row>
    <row r="155">
      <c r="A155" s="2" t="inlineStr">
        <is>
          <t>PAP_CYCLE</t>
        </is>
      </c>
      <c r="B155" s="2" t="inlineStr">
        <is>
          <t>Crop: Papaya</t>
        </is>
      </c>
      <c r="C155" s="6" t="inlineStr">
        <is>
          <t>Replant cycle (0 = perennial)</t>
        </is>
      </c>
      <c r="D155" s="2" t="inlineStr">
        <is>
          <t>years</t>
        </is>
      </c>
      <c r="E155" s="13" t="n">
        <v>3</v>
      </c>
      <c r="F155" s="13" t="n">
        <v>3</v>
      </c>
      <c r="G155" s="13" t="n">
        <v>3</v>
      </c>
      <c r="H155" s="14">
        <f>CHOOSE(Control!$C$5,E155,F155,G155)</f>
        <v/>
      </c>
      <c r="I155" s="3" t="inlineStr">
        <is>
          <t>A</t>
        </is>
      </c>
      <c r="J155" s="2" t="inlineStr">
        <is>
          <t>placeholder — pending Stage 1 research</t>
        </is>
      </c>
      <c r="K155" s="2" t="inlineStr"/>
    </row>
    <row r="156">
      <c r="A156" s="11" t="n"/>
      <c r="B156" s="12" t="inlineStr">
        <is>
          <t>Crop: Tree tomato</t>
        </is>
      </c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</row>
    <row r="157">
      <c r="A157" s="2" t="inlineStr">
        <is>
          <t>TTO_DENS</t>
        </is>
      </c>
      <c r="B157" s="2" t="inlineStr">
        <is>
          <t>Crop: Tree tomato</t>
        </is>
      </c>
      <c r="C157" s="6" t="inlineStr">
        <is>
          <t>Planting density</t>
        </is>
      </c>
      <c r="D157" s="2" t="inlineStr">
        <is>
          <t>plants per ha</t>
        </is>
      </c>
      <c r="E157" s="13" t="n">
        <v>1667</v>
      </c>
      <c r="F157" s="13" t="n">
        <v>1667</v>
      </c>
      <c r="G157" s="13" t="n">
        <v>1667</v>
      </c>
      <c r="H157" s="14">
        <f>CHOOSE(Control!$C$5,E157,F157,G157)</f>
        <v/>
      </c>
      <c r="I157" s="3" t="inlineStr">
        <is>
          <t>A</t>
        </is>
      </c>
      <c r="J157" s="2" t="inlineStr">
        <is>
          <t>placeholder — pending Stage 1 research</t>
        </is>
      </c>
      <c r="K157" s="2" t="inlineStr">
        <is>
          <t>Design choice; confirm spacing</t>
        </is>
      </c>
    </row>
    <row r="158">
      <c r="A158" s="2" t="inlineStr">
        <is>
          <t>TTO_SURV</t>
        </is>
      </c>
      <c r="B158" s="2" t="inlineStr">
        <is>
          <t>Crop: Tree tomato</t>
        </is>
      </c>
      <c r="C158" s="6" t="inlineStr">
        <is>
          <t>Final stand after gap filling</t>
        </is>
      </c>
      <c r="D158" s="2" t="inlineStr">
        <is>
          <t>share</t>
        </is>
      </c>
      <c r="E158" s="17" t="n">
        <v>0.75</v>
      </c>
      <c r="F158" s="17" t="n">
        <v>0.85</v>
      </c>
      <c r="G158" s="17" t="n">
        <v>0.9</v>
      </c>
      <c r="H158" s="18">
        <f>CHOOSE(Control!$C$5,E158,F158,G158)</f>
        <v/>
      </c>
      <c r="I158" s="3" t="inlineStr">
        <is>
          <t>A</t>
        </is>
      </c>
      <c r="J158" s="2" t="inlineStr">
        <is>
          <t>placeholder — pending Stage 1 research</t>
        </is>
      </c>
      <c r="K158" s="2" t="inlineStr"/>
    </row>
    <row r="159">
      <c r="A159" s="2" t="inlineStr">
        <is>
          <t>TTO_SEED</t>
        </is>
      </c>
      <c r="B159" s="2" t="inlineStr">
        <is>
          <t>Crop: Tree tomato</t>
        </is>
      </c>
      <c r="C159" s="6" t="inlineStr">
        <is>
          <t>Seedling or grafted plant</t>
        </is>
      </c>
      <c r="D159" s="2" t="inlineStr">
        <is>
          <t>RWF each</t>
        </is>
      </c>
      <c r="E159" s="13" t="n">
        <v>300</v>
      </c>
      <c r="F159" s="13" t="n">
        <v>200</v>
      </c>
      <c r="G159" s="13" t="n">
        <v>150</v>
      </c>
      <c r="H159" s="14">
        <f>CHOOSE(Control!$C$5,E159,F159,G159)</f>
        <v/>
      </c>
      <c r="I159" s="3" t="inlineStr">
        <is>
          <t>A</t>
        </is>
      </c>
      <c r="J159" s="2" t="inlineStr">
        <is>
          <t>placeholder — pending Stage 1 research</t>
        </is>
      </c>
      <c r="K159" s="2" t="inlineStr"/>
    </row>
    <row r="160">
      <c r="A160" s="2" t="inlineStr">
        <is>
          <t>TTO_PLANT</t>
        </is>
      </c>
      <c r="B160" s="2" t="inlineStr">
        <is>
          <t>Crop: Tree tomato</t>
        </is>
      </c>
      <c r="C160" s="6" t="inlineStr">
        <is>
          <t>Planting (hole, compost, labour, trellis)</t>
        </is>
      </c>
      <c r="D160" s="2" t="inlineStr">
        <is>
          <t>RWF per plant</t>
        </is>
      </c>
      <c r="E160" s="13" t="n">
        <v>600</v>
      </c>
      <c r="F160" s="13" t="n">
        <v>500</v>
      </c>
      <c r="G160" s="13" t="n">
        <v>400</v>
      </c>
      <c r="H160" s="14">
        <f>CHOOSE(Control!$C$5,E160,F160,G160)</f>
        <v/>
      </c>
      <c r="I160" s="3" t="inlineStr">
        <is>
          <t>A</t>
        </is>
      </c>
      <c r="J160" s="2" t="inlineStr">
        <is>
          <t>placeholder — pending Stage 1 research</t>
        </is>
      </c>
      <c r="K160" s="2" t="inlineStr"/>
    </row>
    <row r="161">
      <c r="A161" s="2" t="inlineStr">
        <is>
          <t>TTO_YMULT</t>
        </is>
      </c>
      <c r="B161" s="2" t="inlineStr">
        <is>
          <t>Crop: Tree tomato</t>
        </is>
      </c>
      <c r="C161" s="6" t="inlineStr">
        <is>
          <t>Yield multiplier on the curve</t>
        </is>
      </c>
      <c r="D161" s="2" t="inlineStr">
        <is>
          <t>factor</t>
        </is>
      </c>
      <c r="E161" s="15" t="n">
        <v>0.7</v>
      </c>
      <c r="F161" s="15" t="n">
        <v>1</v>
      </c>
      <c r="G161" s="15" t="n">
        <v>1.2</v>
      </c>
      <c r="H161" s="16">
        <f>CHOOSE(Control!$C$5,E161,F161,G161)</f>
        <v/>
      </c>
      <c r="I161" s="3" t="inlineStr">
        <is>
          <t>A</t>
        </is>
      </c>
      <c r="J161" s="2" t="inlineStr">
        <is>
          <t>placeholder — pending Stage 1 research</t>
        </is>
      </c>
      <c r="K161" s="2" t="inlineStr"/>
    </row>
    <row r="162">
      <c r="A162" s="2" t="inlineStr">
        <is>
          <t>TTO_MKT</t>
        </is>
      </c>
      <c r="B162" s="2" t="inlineStr">
        <is>
          <t>Crop: Tree tomato</t>
        </is>
      </c>
      <c r="C162" s="6" t="inlineStr">
        <is>
          <t>Marketable share of harvest</t>
        </is>
      </c>
      <c r="D162" s="2" t="inlineStr">
        <is>
          <t>share</t>
        </is>
      </c>
      <c r="E162" s="17" t="n">
        <v>0.7</v>
      </c>
      <c r="F162" s="17" t="n">
        <v>0.8</v>
      </c>
      <c r="G162" s="17" t="n">
        <v>0.85</v>
      </c>
      <c r="H162" s="18">
        <f>CHOOSE(Control!$C$5,E162,F162,G162)</f>
        <v/>
      </c>
      <c r="I162" s="3" t="inlineStr">
        <is>
          <t>A</t>
        </is>
      </c>
      <c r="J162" s="2" t="inlineStr">
        <is>
          <t>placeholder — pending Stage 1 research</t>
        </is>
      </c>
      <c r="K162" s="2" t="inlineStr"/>
    </row>
    <row r="163">
      <c r="A163" s="2" t="inlineStr">
        <is>
          <t>TTO_PRICE</t>
        </is>
      </c>
      <c r="B163" s="2" t="inlineStr">
        <is>
          <t>Crop: Tree tomato</t>
        </is>
      </c>
      <c r="C163" s="6" t="inlineStr">
        <is>
          <t>Farm-gate price</t>
        </is>
      </c>
      <c r="D163" s="2" t="inlineStr">
        <is>
          <t>RWF per kg</t>
        </is>
      </c>
      <c r="E163" s="13" t="n">
        <v>300</v>
      </c>
      <c r="F163" s="13" t="n">
        <v>400</v>
      </c>
      <c r="G163" s="13" t="n">
        <v>500</v>
      </c>
      <c r="H163" s="14">
        <f>CHOOSE(Control!$C$5,E163,F163,G163)</f>
        <v/>
      </c>
      <c r="I163" s="3" t="inlineStr">
        <is>
          <t>A</t>
        </is>
      </c>
      <c r="J163" s="2" t="inlineStr">
        <is>
          <t>placeholder — pending Stage 1 research</t>
        </is>
      </c>
      <c r="K163" s="2" t="inlineStr"/>
    </row>
    <row r="164">
      <c r="A164" s="2" t="inlineStr">
        <is>
          <t>TTO_CYCLE</t>
        </is>
      </c>
      <c r="B164" s="2" t="inlineStr">
        <is>
          <t>Crop: Tree tomato</t>
        </is>
      </c>
      <c r="C164" s="6" t="inlineStr">
        <is>
          <t>Replant cycle (0 = perennial)</t>
        </is>
      </c>
      <c r="D164" s="2" t="inlineStr">
        <is>
          <t>years</t>
        </is>
      </c>
      <c r="E164" s="13" t="n">
        <v>4</v>
      </c>
      <c r="F164" s="13" t="n">
        <v>4</v>
      </c>
      <c r="G164" s="13" t="n">
        <v>4</v>
      </c>
      <c r="H164" s="14">
        <f>CHOOSE(Control!$C$5,E164,F164,G164)</f>
        <v/>
      </c>
      <c r="I164" s="3" t="inlineStr">
        <is>
          <t>A</t>
        </is>
      </c>
      <c r="J164" s="2" t="inlineStr">
        <is>
          <t>placeholder — pending Stage 1 research</t>
        </is>
      </c>
      <c r="K164" s="2" t="inlineStr"/>
    </row>
    <row r="165">
      <c r="A165" s="11" t="n"/>
      <c r="B165" s="12" t="inlineStr">
        <is>
          <t>Crop: Citrus</t>
        </is>
      </c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</row>
    <row r="166">
      <c r="A166" s="2" t="inlineStr">
        <is>
          <t>CIT_DENS</t>
        </is>
      </c>
      <c r="B166" s="2" t="inlineStr">
        <is>
          <t>Crop: Citrus</t>
        </is>
      </c>
      <c r="C166" s="6" t="inlineStr">
        <is>
          <t>Planting density</t>
        </is>
      </c>
      <c r="D166" s="2" t="inlineStr">
        <is>
          <t>plants per ha</t>
        </is>
      </c>
      <c r="E166" s="13" t="n">
        <v>400</v>
      </c>
      <c r="F166" s="13" t="n">
        <v>400</v>
      </c>
      <c r="G166" s="13" t="n">
        <v>400</v>
      </c>
      <c r="H166" s="14">
        <f>CHOOSE(Control!$C$5,E166,F166,G166)</f>
        <v/>
      </c>
      <c r="I166" s="3" t="inlineStr">
        <is>
          <t>A</t>
        </is>
      </c>
      <c r="J166" s="2" t="inlineStr">
        <is>
          <t>placeholder — pending Stage 1 research</t>
        </is>
      </c>
      <c r="K166" s="2" t="inlineStr">
        <is>
          <t>Design choice; confirm spacing</t>
        </is>
      </c>
    </row>
    <row r="167">
      <c r="A167" s="2" t="inlineStr">
        <is>
          <t>CIT_SURV</t>
        </is>
      </c>
      <c r="B167" s="2" t="inlineStr">
        <is>
          <t>Crop: Citrus</t>
        </is>
      </c>
      <c r="C167" s="6" t="inlineStr">
        <is>
          <t>Final stand after gap filling</t>
        </is>
      </c>
      <c r="D167" s="2" t="inlineStr">
        <is>
          <t>share</t>
        </is>
      </c>
      <c r="E167" s="17" t="n">
        <v>0.8</v>
      </c>
      <c r="F167" s="17" t="n">
        <v>0.88</v>
      </c>
      <c r="G167" s="17" t="n">
        <v>0.93</v>
      </c>
      <c r="H167" s="18">
        <f>CHOOSE(Control!$C$5,E167,F167,G167)</f>
        <v/>
      </c>
      <c r="I167" s="3" t="inlineStr">
        <is>
          <t>A</t>
        </is>
      </c>
      <c r="J167" s="2" t="inlineStr">
        <is>
          <t>placeholder — pending Stage 1 research</t>
        </is>
      </c>
      <c r="K167" s="2" t="inlineStr"/>
    </row>
    <row r="168">
      <c r="A168" s="2" t="inlineStr">
        <is>
          <t>CIT_SEED</t>
        </is>
      </c>
      <c r="B168" s="2" t="inlineStr">
        <is>
          <t>Crop: Citrus</t>
        </is>
      </c>
      <c r="C168" s="6" t="inlineStr">
        <is>
          <t>Seedling or grafted plant</t>
        </is>
      </c>
      <c r="D168" s="2" t="inlineStr">
        <is>
          <t>RWF each</t>
        </is>
      </c>
      <c r="E168" s="13" t="n">
        <v>2500</v>
      </c>
      <c r="F168" s="13" t="n">
        <v>2000</v>
      </c>
      <c r="G168" s="13" t="n">
        <v>1500</v>
      </c>
      <c r="H168" s="14">
        <f>CHOOSE(Control!$C$5,E168,F168,G168)</f>
        <v/>
      </c>
      <c r="I168" s="3" t="inlineStr">
        <is>
          <t>A</t>
        </is>
      </c>
      <c r="J168" s="2" t="inlineStr">
        <is>
          <t>placeholder — pending Stage 1 research</t>
        </is>
      </c>
      <c r="K168" s="2" t="inlineStr"/>
    </row>
    <row r="169">
      <c r="A169" s="2" t="inlineStr">
        <is>
          <t>CIT_PLANT</t>
        </is>
      </c>
      <c r="B169" s="2" t="inlineStr">
        <is>
          <t>Crop: Citrus</t>
        </is>
      </c>
      <c r="C169" s="6" t="inlineStr">
        <is>
          <t>Planting (hole, compost, labour, trellis)</t>
        </is>
      </c>
      <c r="D169" s="2" t="inlineStr">
        <is>
          <t>RWF per plant</t>
        </is>
      </c>
      <c r="E169" s="13" t="n">
        <v>1200</v>
      </c>
      <c r="F169" s="13" t="n">
        <v>1000</v>
      </c>
      <c r="G169" s="13" t="n">
        <v>800</v>
      </c>
      <c r="H169" s="14">
        <f>CHOOSE(Control!$C$5,E169,F169,G169)</f>
        <v/>
      </c>
      <c r="I169" s="3" t="inlineStr">
        <is>
          <t>A</t>
        </is>
      </c>
      <c r="J169" s="2" t="inlineStr">
        <is>
          <t>placeholder — pending Stage 1 research</t>
        </is>
      </c>
      <c r="K169" s="2" t="inlineStr"/>
    </row>
    <row r="170">
      <c r="A170" s="2" t="inlineStr">
        <is>
          <t>CIT_YMULT</t>
        </is>
      </c>
      <c r="B170" s="2" t="inlineStr">
        <is>
          <t>Crop: Citrus</t>
        </is>
      </c>
      <c r="C170" s="6" t="inlineStr">
        <is>
          <t>Yield multiplier on the curve</t>
        </is>
      </c>
      <c r="D170" s="2" t="inlineStr">
        <is>
          <t>factor</t>
        </is>
      </c>
      <c r="E170" s="15" t="n">
        <v>0.7</v>
      </c>
      <c r="F170" s="15" t="n">
        <v>1</v>
      </c>
      <c r="G170" s="15" t="n">
        <v>1.2</v>
      </c>
      <c r="H170" s="16">
        <f>CHOOSE(Control!$C$5,E170,F170,G170)</f>
        <v/>
      </c>
      <c r="I170" s="3" t="inlineStr">
        <is>
          <t>A</t>
        </is>
      </c>
      <c r="J170" s="2" t="inlineStr">
        <is>
          <t>placeholder — pending Stage 1 research</t>
        </is>
      </c>
      <c r="K170" s="2" t="inlineStr"/>
    </row>
    <row r="171">
      <c r="A171" s="2" t="inlineStr">
        <is>
          <t>CIT_MKT</t>
        </is>
      </c>
      <c r="B171" s="2" t="inlineStr">
        <is>
          <t>Crop: Citrus</t>
        </is>
      </c>
      <c r="C171" s="6" t="inlineStr">
        <is>
          <t>Marketable share of harvest</t>
        </is>
      </c>
      <c r="D171" s="2" t="inlineStr">
        <is>
          <t>share</t>
        </is>
      </c>
      <c r="E171" s="17" t="n">
        <v>0.7</v>
      </c>
      <c r="F171" s="17" t="n">
        <v>0.8</v>
      </c>
      <c r="G171" s="17" t="n">
        <v>0.85</v>
      </c>
      <c r="H171" s="18">
        <f>CHOOSE(Control!$C$5,E171,F171,G171)</f>
        <v/>
      </c>
      <c r="I171" s="3" t="inlineStr">
        <is>
          <t>A</t>
        </is>
      </c>
      <c r="J171" s="2" t="inlineStr">
        <is>
          <t>placeholder — pending Stage 1 research</t>
        </is>
      </c>
      <c r="K171" s="2" t="inlineStr"/>
    </row>
    <row r="172">
      <c r="A172" s="2" t="inlineStr">
        <is>
          <t>CIT_PRICE</t>
        </is>
      </c>
      <c r="B172" s="2" t="inlineStr">
        <is>
          <t>Crop: Citrus</t>
        </is>
      </c>
      <c r="C172" s="6" t="inlineStr">
        <is>
          <t>Farm-gate price</t>
        </is>
      </c>
      <c r="D172" s="2" t="inlineStr">
        <is>
          <t>RWF per kg</t>
        </is>
      </c>
      <c r="E172" s="13" t="n">
        <v>250</v>
      </c>
      <c r="F172" s="13" t="n">
        <v>350</v>
      </c>
      <c r="G172" s="13" t="n">
        <v>450</v>
      </c>
      <c r="H172" s="14">
        <f>CHOOSE(Control!$C$5,E172,F172,G172)</f>
        <v/>
      </c>
      <c r="I172" s="3" t="inlineStr">
        <is>
          <t>A</t>
        </is>
      </c>
      <c r="J172" s="2" t="inlineStr">
        <is>
          <t>placeholder — pending Stage 1 research</t>
        </is>
      </c>
      <c r="K172" s="2" t="inlineStr"/>
    </row>
    <row r="173">
      <c r="A173" s="2" t="inlineStr">
        <is>
          <t>CIT_CYCLE</t>
        </is>
      </c>
      <c r="B173" s="2" t="inlineStr">
        <is>
          <t>Crop: Citrus</t>
        </is>
      </c>
      <c r="C173" s="6" t="inlineStr">
        <is>
          <t>Replant cycle (0 = perennial)</t>
        </is>
      </c>
      <c r="D173" s="2" t="inlineStr">
        <is>
          <t>years</t>
        </is>
      </c>
      <c r="E173" s="13" t="n">
        <v>0</v>
      </c>
      <c r="F173" s="13" t="n">
        <v>0</v>
      </c>
      <c r="G173" s="13" t="n">
        <v>0</v>
      </c>
      <c r="H173" s="14">
        <f>CHOOSE(Control!$C$5,E173,F173,G173)</f>
        <v/>
      </c>
      <c r="I173" s="3" t="inlineStr">
        <is>
          <t>A</t>
        </is>
      </c>
      <c r="J173" s="2" t="inlineStr">
        <is>
          <t>placeholder — pending Stage 1 research</t>
        </is>
      </c>
      <c r="K173" s="2" t="inlineStr"/>
    </row>
    <row r="174">
      <c r="A174" s="11" t="n"/>
      <c r="B174" s="12" t="inlineStr">
        <is>
          <t>Crop: Macadamia (nut in shell)</t>
        </is>
      </c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</row>
    <row r="175">
      <c r="A175" s="2" t="inlineStr">
        <is>
          <t>MAC_DENS</t>
        </is>
      </c>
      <c r="B175" s="2" t="inlineStr">
        <is>
          <t>Crop: Macadamia (nut in shell)</t>
        </is>
      </c>
      <c r="C175" s="6" t="inlineStr">
        <is>
          <t>Planting density</t>
        </is>
      </c>
      <c r="D175" s="2" t="inlineStr">
        <is>
          <t>plants per ha</t>
        </is>
      </c>
      <c r="E175" s="13" t="n">
        <v>204</v>
      </c>
      <c r="F175" s="13" t="n">
        <v>204</v>
      </c>
      <c r="G175" s="13" t="n">
        <v>204</v>
      </c>
      <c r="H175" s="14">
        <f>CHOOSE(Control!$C$5,E175,F175,G175)</f>
        <v/>
      </c>
      <c r="I175" s="3" t="inlineStr">
        <is>
          <t>A</t>
        </is>
      </c>
      <c r="J175" s="2" t="inlineStr">
        <is>
          <t>placeholder — pending Stage 1 research</t>
        </is>
      </c>
      <c r="K175" s="2" t="inlineStr">
        <is>
          <t>Design choice; confirm spacing</t>
        </is>
      </c>
    </row>
    <row r="176">
      <c r="A176" s="2" t="inlineStr">
        <is>
          <t>MAC_SURV</t>
        </is>
      </c>
      <c r="B176" s="2" t="inlineStr">
        <is>
          <t>Crop: Macadamia (nut in shell)</t>
        </is>
      </c>
      <c r="C176" s="6" t="inlineStr">
        <is>
          <t>Final stand after gap filling</t>
        </is>
      </c>
      <c r="D176" s="2" t="inlineStr">
        <is>
          <t>share</t>
        </is>
      </c>
      <c r="E176" s="17" t="n">
        <v>0.8</v>
      </c>
      <c r="F176" s="17" t="n">
        <v>0.88</v>
      </c>
      <c r="G176" s="17" t="n">
        <v>0.93</v>
      </c>
      <c r="H176" s="18">
        <f>CHOOSE(Control!$C$5,E176,F176,G176)</f>
        <v/>
      </c>
      <c r="I176" s="3" t="inlineStr">
        <is>
          <t>A</t>
        </is>
      </c>
      <c r="J176" s="2" t="inlineStr">
        <is>
          <t>placeholder — pending Stage 1 research</t>
        </is>
      </c>
      <c r="K176" s="2" t="inlineStr"/>
    </row>
    <row r="177">
      <c r="A177" s="2" t="inlineStr">
        <is>
          <t>MAC_SEED</t>
        </is>
      </c>
      <c r="B177" s="2" t="inlineStr">
        <is>
          <t>Crop: Macadamia (nut in shell)</t>
        </is>
      </c>
      <c r="C177" s="6" t="inlineStr">
        <is>
          <t>Seedling or grafted plant</t>
        </is>
      </c>
      <c r="D177" s="2" t="inlineStr">
        <is>
          <t>RWF each</t>
        </is>
      </c>
      <c r="E177" s="13" t="n">
        <v>4000</v>
      </c>
      <c r="F177" s="13" t="n">
        <v>3500</v>
      </c>
      <c r="G177" s="13" t="n">
        <v>3000</v>
      </c>
      <c r="H177" s="14">
        <f>CHOOSE(Control!$C$5,E177,F177,G177)</f>
        <v/>
      </c>
      <c r="I177" s="3" t="inlineStr">
        <is>
          <t>A</t>
        </is>
      </c>
      <c r="J177" s="2" t="inlineStr">
        <is>
          <t>placeholder — pending Stage 1 research</t>
        </is>
      </c>
      <c r="K177" s="2" t="inlineStr"/>
    </row>
    <row r="178">
      <c r="A178" s="2" t="inlineStr">
        <is>
          <t>MAC_PLANT</t>
        </is>
      </c>
      <c r="B178" s="2" t="inlineStr">
        <is>
          <t>Crop: Macadamia (nut in shell)</t>
        </is>
      </c>
      <c r="C178" s="6" t="inlineStr">
        <is>
          <t>Planting (hole, compost, labour, trellis)</t>
        </is>
      </c>
      <c r="D178" s="2" t="inlineStr">
        <is>
          <t>RWF per plant</t>
        </is>
      </c>
      <c r="E178" s="13" t="n">
        <v>1500</v>
      </c>
      <c r="F178" s="13" t="n">
        <v>1200</v>
      </c>
      <c r="G178" s="13" t="n">
        <v>1000</v>
      </c>
      <c r="H178" s="14">
        <f>CHOOSE(Control!$C$5,E178,F178,G178)</f>
        <v/>
      </c>
      <c r="I178" s="3" t="inlineStr">
        <is>
          <t>A</t>
        </is>
      </c>
      <c r="J178" s="2" t="inlineStr">
        <is>
          <t>placeholder — pending Stage 1 research</t>
        </is>
      </c>
      <c r="K178" s="2" t="inlineStr"/>
    </row>
    <row r="179">
      <c r="A179" s="2" t="inlineStr">
        <is>
          <t>MAC_YMULT</t>
        </is>
      </c>
      <c r="B179" s="2" t="inlineStr">
        <is>
          <t>Crop: Macadamia (nut in shell)</t>
        </is>
      </c>
      <c r="C179" s="6" t="inlineStr">
        <is>
          <t>Yield multiplier on the curve</t>
        </is>
      </c>
      <c r="D179" s="2" t="inlineStr">
        <is>
          <t>factor</t>
        </is>
      </c>
      <c r="E179" s="15" t="n">
        <v>0.7</v>
      </c>
      <c r="F179" s="15" t="n">
        <v>1</v>
      </c>
      <c r="G179" s="15" t="n">
        <v>1.2</v>
      </c>
      <c r="H179" s="16">
        <f>CHOOSE(Control!$C$5,E179,F179,G179)</f>
        <v/>
      </c>
      <c r="I179" s="3" t="inlineStr">
        <is>
          <t>A</t>
        </is>
      </c>
      <c r="J179" s="2" t="inlineStr">
        <is>
          <t>placeholder — pending Stage 1 research</t>
        </is>
      </c>
      <c r="K179" s="2" t="inlineStr"/>
    </row>
    <row r="180">
      <c r="A180" s="2" t="inlineStr">
        <is>
          <t>MAC_MKT</t>
        </is>
      </c>
      <c r="B180" s="2" t="inlineStr">
        <is>
          <t>Crop: Macadamia (nut in shell)</t>
        </is>
      </c>
      <c r="C180" s="6" t="inlineStr">
        <is>
          <t>Marketable share of harvest</t>
        </is>
      </c>
      <c r="D180" s="2" t="inlineStr">
        <is>
          <t>share</t>
        </is>
      </c>
      <c r="E180" s="17" t="n">
        <v>0.85</v>
      </c>
      <c r="F180" s="17" t="n">
        <v>0.9</v>
      </c>
      <c r="G180" s="17" t="n">
        <v>0.95</v>
      </c>
      <c r="H180" s="18">
        <f>CHOOSE(Control!$C$5,E180,F180,G180)</f>
        <v/>
      </c>
      <c r="I180" s="3" t="inlineStr">
        <is>
          <t>A</t>
        </is>
      </c>
      <c r="J180" s="2" t="inlineStr">
        <is>
          <t>placeholder — pending Stage 1 research</t>
        </is>
      </c>
      <c r="K180" s="2" t="inlineStr"/>
    </row>
    <row r="181">
      <c r="A181" s="2" t="inlineStr">
        <is>
          <t>MAC_PRICE</t>
        </is>
      </c>
      <c r="B181" s="2" t="inlineStr">
        <is>
          <t>Crop: Macadamia (nut in shell)</t>
        </is>
      </c>
      <c r="C181" s="6" t="inlineStr">
        <is>
          <t>Farm-gate price</t>
        </is>
      </c>
      <c r="D181" s="2" t="inlineStr">
        <is>
          <t>RWF per kg</t>
        </is>
      </c>
      <c r="E181" s="13" t="n">
        <v>800</v>
      </c>
      <c r="F181" s="13" t="n">
        <v>1000</v>
      </c>
      <c r="G181" s="13" t="n">
        <v>1200</v>
      </c>
      <c r="H181" s="14">
        <f>CHOOSE(Control!$C$5,E181,F181,G181)</f>
        <v/>
      </c>
      <c r="I181" s="3" t="inlineStr">
        <is>
          <t>A</t>
        </is>
      </c>
      <c r="J181" s="2" t="inlineStr">
        <is>
          <t>placeholder — pending Stage 1 research</t>
        </is>
      </c>
      <c r="K181" s="2" t="inlineStr"/>
    </row>
    <row r="182">
      <c r="A182" s="2" t="inlineStr">
        <is>
          <t>MAC_CYCLE</t>
        </is>
      </c>
      <c r="B182" s="2" t="inlineStr">
        <is>
          <t>Crop: Macadamia (nut in shell)</t>
        </is>
      </c>
      <c r="C182" s="6" t="inlineStr">
        <is>
          <t>Replant cycle (0 = perennial)</t>
        </is>
      </c>
      <c r="D182" s="2" t="inlineStr">
        <is>
          <t>years</t>
        </is>
      </c>
      <c r="E182" s="13" t="n">
        <v>0</v>
      </c>
      <c r="F182" s="13" t="n">
        <v>0</v>
      </c>
      <c r="G182" s="13" t="n">
        <v>0</v>
      </c>
      <c r="H182" s="14">
        <f>CHOOSE(Control!$C$5,E182,F182,G182)</f>
        <v/>
      </c>
      <c r="I182" s="3" t="inlineStr">
        <is>
          <t>A</t>
        </is>
      </c>
      <c r="J182" s="2" t="inlineStr">
        <is>
          <t>placeholder — pending Stage 1 research</t>
        </is>
      </c>
      <c r="K182" s="2" t="inlineStr"/>
    </row>
    <row r="183">
      <c r="A183" s="11" t="n"/>
      <c r="B183" s="12" t="inlineStr">
        <is>
          <t>Boundary timber</t>
        </is>
      </c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</row>
    <row r="184">
      <c r="A184" s="2" t="inlineStr">
        <is>
          <t>T_SHAPE</t>
        </is>
      </c>
      <c r="B184" s="2" t="inlineStr">
        <is>
          <t>Boundary timber</t>
        </is>
      </c>
      <c r="C184" s="6" t="inlineStr">
        <is>
          <t>Boundary shape factor (1 = square)</t>
        </is>
      </c>
      <c r="D184" s="2" t="inlineStr">
        <is>
          <t>factor</t>
        </is>
      </c>
      <c r="E184" s="15" t="n">
        <v>1.25</v>
      </c>
      <c r="F184" s="15" t="n">
        <v>1.15</v>
      </c>
      <c r="G184" s="15" t="n">
        <v>1.05</v>
      </c>
      <c r="H184" s="16">
        <f>CHOOSE(Control!$C$5,E184,F184,G184)</f>
        <v/>
      </c>
      <c r="I184" s="3" t="inlineStr">
        <is>
          <t>U</t>
        </is>
      </c>
      <c r="J184" s="2" t="inlineStr">
        <is>
          <t>placeholder — pending Stage 1 research</t>
        </is>
      </c>
      <c r="K184" s="2" t="inlineStr">
        <is>
          <t>Site-specific</t>
        </is>
      </c>
    </row>
    <row r="185">
      <c r="A185" s="2" t="inlineStr">
        <is>
          <t>T_SPACING</t>
        </is>
      </c>
      <c r="B185" s="2" t="inlineStr">
        <is>
          <t>Boundary timber</t>
        </is>
      </c>
      <c r="C185" s="6" t="inlineStr">
        <is>
          <t>Boundary tree spacing</t>
        </is>
      </c>
      <c r="D185" s="2" t="inlineStr">
        <is>
          <t>m</t>
        </is>
      </c>
      <c r="E185" s="13" t="n">
        <v>4</v>
      </c>
      <c r="F185" s="13" t="n">
        <v>4</v>
      </c>
      <c r="G185" s="13" t="n">
        <v>4</v>
      </c>
      <c r="H185" s="14">
        <f>CHOOSE(Control!$C$5,E185,F185,G185)</f>
        <v/>
      </c>
      <c r="I185" s="3" t="inlineStr">
        <is>
          <t>A</t>
        </is>
      </c>
      <c r="J185" s="2" t="inlineStr">
        <is>
          <t>placeholder — pending Stage 1 research</t>
        </is>
      </c>
      <c r="K185" s="2" t="inlineStr"/>
    </row>
    <row r="186">
      <c r="A186" s="2" t="inlineStr">
        <is>
          <t>T_SURV</t>
        </is>
      </c>
      <c r="B186" s="2" t="inlineStr">
        <is>
          <t>Boundary timber</t>
        </is>
      </c>
      <c r="C186" s="6" t="inlineStr">
        <is>
          <t>Boundary tree survival</t>
        </is>
      </c>
      <c r="D186" s="2" t="inlineStr">
        <is>
          <t>share</t>
        </is>
      </c>
      <c r="E186" s="17" t="n">
        <v>0.75</v>
      </c>
      <c r="F186" s="17" t="n">
        <v>0.85</v>
      </c>
      <c r="G186" s="17" t="n">
        <v>0.9</v>
      </c>
      <c r="H186" s="18">
        <f>CHOOSE(Control!$C$5,E186,F186,G186)</f>
        <v/>
      </c>
      <c r="I186" s="3" t="inlineStr">
        <is>
          <t>A</t>
        </is>
      </c>
      <c r="J186" s="2" t="inlineStr">
        <is>
          <t>placeholder — pending Stage 1 research</t>
        </is>
      </c>
      <c r="K186" s="2" t="inlineStr"/>
    </row>
    <row r="187">
      <c r="A187" s="2" t="inlineStr">
        <is>
          <t>T_SEED</t>
        </is>
      </c>
      <c r="B187" s="2" t="inlineStr">
        <is>
          <t>Boundary timber</t>
        </is>
      </c>
      <c r="C187" s="6" t="inlineStr">
        <is>
          <t>Boundary tree seedling</t>
        </is>
      </c>
      <c r="D187" s="2" t="inlineStr">
        <is>
          <t>RWF each</t>
        </is>
      </c>
      <c r="E187" s="13" t="n">
        <v>300</v>
      </c>
      <c r="F187" s="13" t="n">
        <v>200</v>
      </c>
      <c r="G187" s="13" t="n">
        <v>150</v>
      </c>
      <c r="H187" s="14">
        <f>CHOOSE(Control!$C$5,E187,F187,G187)</f>
        <v/>
      </c>
      <c r="I187" s="3" t="inlineStr">
        <is>
          <t>A</t>
        </is>
      </c>
      <c r="J187" s="2" t="inlineStr">
        <is>
          <t>placeholder — pending Stage 1 research</t>
        </is>
      </c>
      <c r="K187" s="2" t="inlineStr"/>
    </row>
    <row r="188">
      <c r="A188" s="2" t="inlineStr">
        <is>
          <t>T_PLANT</t>
        </is>
      </c>
      <c r="B188" s="2" t="inlineStr">
        <is>
          <t>Boundary timber</t>
        </is>
      </c>
      <c r="C188" s="6" t="inlineStr">
        <is>
          <t>Boundary tree planting</t>
        </is>
      </c>
      <c r="D188" s="2" t="inlineStr">
        <is>
          <t>RWF each</t>
        </is>
      </c>
      <c r="E188" s="13" t="n">
        <v>500</v>
      </c>
      <c r="F188" s="13" t="n">
        <v>400</v>
      </c>
      <c r="G188" s="13" t="n">
        <v>300</v>
      </c>
      <c r="H188" s="14">
        <f>CHOOSE(Control!$C$5,E188,F188,G188)</f>
        <v/>
      </c>
      <c r="I188" s="3" t="inlineStr">
        <is>
          <t>A</t>
        </is>
      </c>
      <c r="J188" s="2" t="inlineStr">
        <is>
          <t>placeholder — pending Stage 1 research</t>
        </is>
      </c>
      <c r="K188" s="2" t="inlineStr"/>
    </row>
    <row r="189">
      <c r="A189" s="2" t="inlineStr">
        <is>
          <t>T_POLEYEAR</t>
        </is>
      </c>
      <c r="B189" s="2" t="inlineStr">
        <is>
          <t>Boundary timber</t>
        </is>
      </c>
      <c r="C189" s="6" t="inlineStr">
        <is>
          <t>Year of first pole thinning</t>
        </is>
      </c>
      <c r="D189" s="2" t="inlineStr">
        <is>
          <t>farm year</t>
        </is>
      </c>
      <c r="E189" s="13" t="n">
        <v>8</v>
      </c>
      <c r="F189" s="13" t="n">
        <v>7</v>
      </c>
      <c r="G189" s="13" t="n">
        <v>6</v>
      </c>
      <c r="H189" s="14">
        <f>CHOOSE(Control!$C$5,E189,F189,G189)</f>
        <v/>
      </c>
      <c r="I189" s="3" t="inlineStr">
        <is>
          <t>A</t>
        </is>
      </c>
      <c r="J189" s="2" t="inlineStr">
        <is>
          <t>placeholder — pending Stage 1 research</t>
        </is>
      </c>
      <c r="K189" s="2" t="inlineStr"/>
    </row>
    <row r="190">
      <c r="A190" s="2" t="inlineStr">
        <is>
          <t>T_POLESHARE</t>
        </is>
      </c>
      <c r="B190" s="2" t="inlineStr">
        <is>
          <t>Boundary timber</t>
        </is>
      </c>
      <c r="C190" s="6" t="inlineStr">
        <is>
          <t>Share of trees thinned as poles</t>
        </is>
      </c>
      <c r="D190" s="2" t="inlineStr">
        <is>
          <t>share</t>
        </is>
      </c>
      <c r="E190" s="17" t="n">
        <v>0.3</v>
      </c>
      <c r="F190" s="17" t="n">
        <v>0.3</v>
      </c>
      <c r="G190" s="17" t="n">
        <v>0.3</v>
      </c>
      <c r="H190" s="18">
        <f>CHOOSE(Control!$C$5,E190,F190,G190)</f>
        <v/>
      </c>
      <c r="I190" s="3" t="inlineStr">
        <is>
          <t>A</t>
        </is>
      </c>
      <c r="J190" s="2" t="inlineStr">
        <is>
          <t>placeholder — pending Stage 1 research</t>
        </is>
      </c>
      <c r="K190" s="2" t="inlineStr"/>
    </row>
    <row r="191">
      <c r="A191" s="2" t="inlineStr">
        <is>
          <t>T_POLEPRICE</t>
        </is>
      </c>
      <c r="B191" s="2" t="inlineStr">
        <is>
          <t>Boundary timber</t>
        </is>
      </c>
      <c r="C191" s="6" t="inlineStr">
        <is>
          <t>Pole price</t>
        </is>
      </c>
      <c r="D191" s="2" t="inlineStr">
        <is>
          <t>RWF each</t>
        </is>
      </c>
      <c r="E191" s="13" t="n">
        <v>6000</v>
      </c>
      <c r="F191" s="13" t="n">
        <v>8000</v>
      </c>
      <c r="G191" s="13" t="n">
        <v>10000</v>
      </c>
      <c r="H191" s="14">
        <f>CHOOSE(Control!$C$5,E191,F191,G191)</f>
        <v/>
      </c>
      <c r="I191" s="3" t="inlineStr">
        <is>
          <t>A</t>
        </is>
      </c>
      <c r="J191" s="2" t="inlineStr">
        <is>
          <t>placeholder — pending Stage 1 research</t>
        </is>
      </c>
      <c r="K191" s="2" t="inlineStr"/>
    </row>
    <row r="192">
      <c r="A192" s="2" t="inlineStr">
        <is>
          <t>T_STAND</t>
        </is>
      </c>
      <c r="B192" s="2" t="inlineStr">
        <is>
          <t>Boundary timber</t>
        </is>
      </c>
      <c r="C192" s="6" t="inlineStr">
        <is>
          <t>Standing value per remaining tree at Y10 (memo)</t>
        </is>
      </c>
      <c r="D192" s="2" t="inlineStr">
        <is>
          <t>RWF each</t>
        </is>
      </c>
      <c r="E192" s="13" t="n">
        <v>25000</v>
      </c>
      <c r="F192" s="13" t="n">
        <v>35000</v>
      </c>
      <c r="G192" s="13" t="n">
        <v>45000</v>
      </c>
      <c r="H192" s="14">
        <f>CHOOSE(Control!$C$5,E192,F192,G192)</f>
        <v/>
      </c>
      <c r="I192" s="3" t="inlineStr">
        <is>
          <t>A</t>
        </is>
      </c>
      <c r="J192" s="2" t="inlineStr">
        <is>
          <t>placeholder — pending Stage 1 research</t>
        </is>
      </c>
      <c r="K192" s="2" t="inlineStr">
        <is>
          <t>Not in NPV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5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7" customWidth="1" min="9" max="9"/>
    <col width="44" customWidth="1" min="10" max="10"/>
  </cols>
  <sheetData>
    <row r="1">
      <c r="A1" s="1" t="inlineStr">
        <is>
          <t>Models</t>
        </is>
      </c>
    </row>
    <row r="2">
      <c r="A2" s="2" t="inlineStr">
        <is>
          <t>What defines each farm model. Selected = the column for the model chosen on Control.</t>
        </is>
      </c>
    </row>
    <row r="4">
      <c r="A4" s="5" t="inlineStr">
        <is>
          <t>ID</t>
        </is>
      </c>
      <c r="B4" s="5" t="inlineStr">
        <is>
          <t>Group</t>
        </is>
      </c>
      <c r="C4" s="5" t="inlineStr">
        <is>
          <t>Parameter</t>
        </is>
      </c>
      <c r="D4" s="5" t="inlineStr">
        <is>
          <t>Unit</t>
        </is>
      </c>
      <c r="E4" s="5" t="inlineStr">
        <is>
          <t>M1</t>
        </is>
      </c>
      <c r="F4" s="5" t="inlineStr">
        <is>
          <t>M2</t>
        </is>
      </c>
      <c r="G4" s="5" t="inlineStr">
        <is>
          <t>M3</t>
        </is>
      </c>
      <c r="H4" s="5" t="inlineStr">
        <is>
          <t>Selected</t>
        </is>
      </c>
      <c r="I4" s="5" t="inlineStr">
        <is>
          <t>Label</t>
        </is>
      </c>
      <c r="J4" s="5" t="inlineStr">
        <is>
          <t>Notes</t>
        </is>
      </c>
    </row>
    <row r="5">
      <c r="A5" s="11" t="n"/>
      <c r="B5" s="12" t="inlineStr">
        <is>
          <t>Land use (share of total area)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</row>
    <row r="6">
      <c r="A6" s="2" t="inlineStr">
        <is>
          <t>Z01</t>
        </is>
      </c>
      <c r="B6" s="2" t="inlineStr">
        <is>
          <t>Land use (share of total area)</t>
        </is>
      </c>
      <c r="C6" s="6" t="inlineStr">
        <is>
          <t>Z0+Z1 base, store, nursery</t>
        </is>
      </c>
      <c r="D6" s="2" t="inlineStr">
        <is>
          <t>share</t>
        </is>
      </c>
      <c r="E6" s="17" t="n">
        <v>0.05</v>
      </c>
      <c r="F6" s="17" t="n">
        <v>0.05</v>
      </c>
      <c r="G6" s="17" t="n">
        <v>0.07000000000000001</v>
      </c>
      <c r="H6" s="18">
        <f>CHOOSE(Control!$C$6,E6,F6,G6)</f>
        <v/>
      </c>
      <c r="I6" s="3" t="inlineStr">
        <is>
          <t>A</t>
        </is>
      </c>
      <c r="J6" s="2" t="inlineStr">
        <is>
          <t>See zoning-concept.md</t>
        </is>
      </c>
    </row>
    <row r="7">
      <c r="A7" s="2" t="inlineStr">
        <is>
          <t>Z2</t>
        </is>
      </c>
      <c r="B7" s="2" t="inlineStr">
        <is>
          <t>Land use (share of total area)</t>
        </is>
      </c>
      <c r="C7" s="6" t="inlineStr">
        <is>
          <t>Z2 orchard</t>
        </is>
      </c>
      <c r="D7" s="2" t="inlineStr">
        <is>
          <t>share</t>
        </is>
      </c>
      <c r="E7" s="17" t="n">
        <v>0.25</v>
      </c>
      <c r="F7" s="17" t="n">
        <v>0.35</v>
      </c>
      <c r="G7" s="17" t="n">
        <v>0.38</v>
      </c>
      <c r="H7" s="18">
        <f>CHOOSE(Control!$C$6,E7,F7,G7)</f>
        <v/>
      </c>
      <c r="I7" s="3" t="inlineStr">
        <is>
          <t>A</t>
        </is>
      </c>
      <c r="J7" s="2" t="inlineStr"/>
    </row>
    <row r="8">
      <c r="A8" s="2" t="inlineStr">
        <is>
          <t>Z3</t>
        </is>
      </c>
      <c r="B8" s="2" t="inlineStr">
        <is>
          <t>Land use (share of total area)</t>
        </is>
      </c>
      <c r="C8" s="6" t="inlineStr">
        <is>
          <t>Z3 paddocks and fodder bank</t>
        </is>
      </c>
      <c r="D8" s="2" t="inlineStr">
        <is>
          <t>share</t>
        </is>
      </c>
      <c r="E8" s="17" t="n">
        <v>0.5</v>
      </c>
      <c r="F8" s="17" t="n">
        <v>0.4</v>
      </c>
      <c r="G8" s="17" t="n">
        <v>0.35</v>
      </c>
      <c r="H8" s="18">
        <f>CHOOSE(Control!$C$6,E8,F8,G8)</f>
        <v/>
      </c>
      <c r="I8" s="3" t="inlineStr">
        <is>
          <t>A</t>
        </is>
      </c>
      <c r="J8" s="2" t="inlineStr"/>
    </row>
    <row r="9">
      <c r="A9" s="2" t="inlineStr">
        <is>
          <t>Z4</t>
        </is>
      </c>
      <c r="B9" s="2" t="inlineStr">
        <is>
          <t>Land use (share of total area)</t>
        </is>
      </c>
      <c r="C9" s="6" t="inlineStr">
        <is>
          <t>Z4 boundary and shelter trees</t>
        </is>
      </c>
      <c r="D9" s="2" t="inlineStr">
        <is>
          <t>share</t>
        </is>
      </c>
      <c r="E9" s="17" t="n">
        <v>0.1</v>
      </c>
      <c r="F9" s="17" t="n">
        <v>0.1</v>
      </c>
      <c r="G9" s="17" t="n">
        <v>0.1</v>
      </c>
      <c r="H9" s="18">
        <f>CHOOSE(Control!$C$6,E9,F9,G9)</f>
        <v/>
      </c>
      <c r="I9" s="3" t="inlineStr">
        <is>
          <t>A</t>
        </is>
      </c>
      <c r="J9" s="2" t="inlineStr"/>
    </row>
    <row r="10">
      <c r="A10" s="2" t="inlineStr">
        <is>
          <t>Z5</t>
        </is>
      </c>
      <c r="B10" s="2" t="inlineStr">
        <is>
          <t>Land use (share of total area)</t>
        </is>
      </c>
      <c r="C10" s="6" t="inlineStr">
        <is>
          <t>Z5 lake/wetland buffer, steep, conservation</t>
        </is>
      </c>
      <c r="D10" s="2" t="inlineStr">
        <is>
          <t>share</t>
        </is>
      </c>
      <c r="E10" s="17" t="n">
        <v>0.1</v>
      </c>
      <c r="F10" s="17" t="n">
        <v>0.1</v>
      </c>
      <c r="G10" s="17" t="n">
        <v>0.1</v>
      </c>
      <c r="H10" s="18">
        <f>CHOOSE(Control!$C$6,E10,F10,G10)</f>
        <v/>
      </c>
      <c r="I10" s="3" t="inlineStr">
        <is>
          <t>U</t>
        </is>
      </c>
      <c r="J10" s="2" t="inlineStr">
        <is>
          <t>Depends on shoreline and survey</t>
        </is>
      </c>
    </row>
    <row r="11">
      <c r="A11" s="2" t="inlineStr">
        <is>
          <t>FODDER</t>
        </is>
      </c>
      <c r="B11" s="2" t="inlineStr">
        <is>
          <t>Land use (share of total area)</t>
        </is>
      </c>
      <c r="C11" s="6" t="inlineStr">
        <is>
          <t>Fodder bank share of Z3</t>
        </is>
      </c>
      <c r="D11" s="2" t="inlineStr">
        <is>
          <t>share</t>
        </is>
      </c>
      <c r="E11" s="17" t="n">
        <v>0.3</v>
      </c>
      <c r="F11" s="17" t="n">
        <v>0.3</v>
      </c>
      <c r="G11" s="17" t="n">
        <v>0.35</v>
      </c>
      <c r="H11" s="18">
        <f>CHOOSE(Control!$C$6,E11,F11,G11)</f>
        <v/>
      </c>
      <c r="I11" s="3" t="inlineStr">
        <is>
          <t>A</t>
        </is>
      </c>
      <c r="J11" s="2" t="inlineStr"/>
    </row>
    <row r="12">
      <c r="A12" s="11" t="n"/>
      <c r="B12" s="12" t="inlineStr">
        <is>
          <t>Orchard mix (share of Z2)</t>
        </is>
      </c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2" t="inlineStr">
        <is>
          <t>OR_AVO</t>
        </is>
      </c>
      <c r="B13" s="2" t="inlineStr">
        <is>
          <t>Orchard mix (share of Z2)</t>
        </is>
      </c>
      <c r="C13" s="6" t="inlineStr">
        <is>
          <t>Avocado</t>
        </is>
      </c>
      <c r="D13" s="2" t="inlineStr">
        <is>
          <t>share</t>
        </is>
      </c>
      <c r="E13" s="17" t="n">
        <v>1</v>
      </c>
      <c r="F13" s="17" t="n">
        <v>0.5</v>
      </c>
      <c r="G13" s="17" t="n">
        <v>0.4</v>
      </c>
      <c r="H13" s="18">
        <f>CHOOSE(Control!$C$6,E13,F13,G13)</f>
        <v/>
      </c>
      <c r="I13" s="3" t="inlineStr">
        <is>
          <t>A</t>
        </is>
      </c>
      <c r="J13" s="2" t="inlineStr">
        <is>
          <t>Pending site suitability</t>
        </is>
      </c>
    </row>
    <row r="14">
      <c r="A14" s="2" t="inlineStr">
        <is>
          <t>OR_MAN</t>
        </is>
      </c>
      <c r="B14" s="2" t="inlineStr">
        <is>
          <t>Orchard mix (share of Z2)</t>
        </is>
      </c>
      <c r="C14" s="6" t="inlineStr">
        <is>
          <t>Mango</t>
        </is>
      </c>
      <c r="D14" s="2" t="inlineStr">
        <is>
          <t>share</t>
        </is>
      </c>
      <c r="E14" s="17" t="n">
        <v>0</v>
      </c>
      <c r="F14" s="17" t="n">
        <v>0</v>
      </c>
      <c r="G14" s="17" t="n">
        <v>0.1</v>
      </c>
      <c r="H14" s="18">
        <f>CHOOSE(Control!$C$6,E14,F14,G14)</f>
        <v/>
      </c>
      <c r="I14" s="3" t="inlineStr">
        <is>
          <t>A</t>
        </is>
      </c>
      <c r="J14" s="2" t="inlineStr"/>
    </row>
    <row r="15">
      <c r="A15" s="2" t="inlineStr">
        <is>
          <t>OR_PAS</t>
        </is>
      </c>
      <c r="B15" s="2" t="inlineStr">
        <is>
          <t>Orchard mix (share of Z2)</t>
        </is>
      </c>
      <c r="C15" s="6" t="inlineStr">
        <is>
          <t>Passion fruit</t>
        </is>
      </c>
      <c r="D15" s="2" t="inlineStr">
        <is>
          <t>share</t>
        </is>
      </c>
      <c r="E15" s="17" t="n">
        <v>0</v>
      </c>
      <c r="F15" s="17" t="n">
        <v>0.3</v>
      </c>
      <c r="G15" s="17" t="n">
        <v>0.2</v>
      </c>
      <c r="H15" s="18">
        <f>CHOOSE(Control!$C$6,E15,F15,G15)</f>
        <v/>
      </c>
      <c r="I15" s="3" t="inlineStr">
        <is>
          <t>A</t>
        </is>
      </c>
      <c r="J15" s="2" t="inlineStr"/>
    </row>
    <row r="16">
      <c r="A16" s="2" t="inlineStr">
        <is>
          <t>OR_PAP</t>
        </is>
      </c>
      <c r="B16" s="2" t="inlineStr">
        <is>
          <t>Orchard mix (share of Z2)</t>
        </is>
      </c>
      <c r="C16" s="6" t="inlineStr">
        <is>
          <t>Papaya</t>
        </is>
      </c>
      <c r="D16" s="2" t="inlineStr">
        <is>
          <t>share</t>
        </is>
      </c>
      <c r="E16" s="17" t="n">
        <v>0</v>
      </c>
      <c r="F16" s="17" t="n">
        <v>0.2</v>
      </c>
      <c r="G16" s="17" t="n">
        <v>0.1</v>
      </c>
      <c r="H16" s="18">
        <f>CHOOSE(Control!$C$6,E16,F16,G16)</f>
        <v/>
      </c>
      <c r="I16" s="3" t="inlineStr">
        <is>
          <t>A</t>
        </is>
      </c>
      <c r="J16" s="2" t="inlineStr"/>
    </row>
    <row r="17">
      <c r="A17" s="2" t="inlineStr">
        <is>
          <t>OR_TTO</t>
        </is>
      </c>
      <c r="B17" s="2" t="inlineStr">
        <is>
          <t>Orchard mix (share of Z2)</t>
        </is>
      </c>
      <c r="C17" s="6" t="inlineStr">
        <is>
          <t>Tree tomato</t>
        </is>
      </c>
      <c r="D17" s="2" t="inlineStr">
        <is>
          <t>share</t>
        </is>
      </c>
      <c r="E17" s="17" t="n">
        <v>0</v>
      </c>
      <c r="F17" s="17" t="n">
        <v>0</v>
      </c>
      <c r="G17" s="17" t="n">
        <v>0.1</v>
      </c>
      <c r="H17" s="18">
        <f>CHOOSE(Control!$C$6,E17,F17,G17)</f>
        <v/>
      </c>
      <c r="I17" s="3" t="inlineStr">
        <is>
          <t>A</t>
        </is>
      </c>
      <c r="J17" s="2" t="inlineStr"/>
    </row>
    <row r="18">
      <c r="A18" s="2" t="inlineStr">
        <is>
          <t>OR_CIT</t>
        </is>
      </c>
      <c r="B18" s="2" t="inlineStr">
        <is>
          <t>Orchard mix (share of Z2)</t>
        </is>
      </c>
      <c r="C18" s="6" t="inlineStr">
        <is>
          <t>Citrus</t>
        </is>
      </c>
      <c r="D18" s="2" t="inlineStr">
        <is>
          <t>share</t>
        </is>
      </c>
      <c r="E18" s="17" t="n">
        <v>0</v>
      </c>
      <c r="F18" s="17" t="n">
        <v>0</v>
      </c>
      <c r="G18" s="17" t="n">
        <v>0.1</v>
      </c>
      <c r="H18" s="18">
        <f>CHOOSE(Control!$C$6,E18,F18,G18)</f>
        <v/>
      </c>
      <c r="I18" s="3" t="inlineStr">
        <is>
          <t>A</t>
        </is>
      </c>
      <c r="J18" s="2" t="inlineStr"/>
    </row>
    <row r="19">
      <c r="A19" s="2" t="inlineStr">
        <is>
          <t>OR_MAC</t>
        </is>
      </c>
      <c r="B19" s="2" t="inlineStr">
        <is>
          <t>Orchard mix (share of Z2)</t>
        </is>
      </c>
      <c r="C19" s="6" t="inlineStr">
        <is>
          <t>Macadamia</t>
        </is>
      </c>
      <c r="D19" s="2" t="inlineStr">
        <is>
          <t>share</t>
        </is>
      </c>
      <c r="E19" s="17" t="n">
        <v>0</v>
      </c>
      <c r="F19" s="17" t="n">
        <v>0</v>
      </c>
      <c r="G19" s="17" t="n">
        <v>0</v>
      </c>
      <c r="H19" s="18">
        <f>CHOOSE(Control!$C$6,E19,F19,G19)</f>
        <v/>
      </c>
      <c r="I19" s="3" t="inlineStr">
        <is>
          <t>A</t>
        </is>
      </c>
      <c r="J19" s="2" t="inlineStr"/>
    </row>
    <row r="20">
      <c r="A20" s="11" t="n"/>
      <c r="B20" s="12" t="inlineStr">
        <is>
          <t>Livestock introduction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2" t="inlineStr">
        <is>
          <t>GT_T1M</t>
        </is>
      </c>
      <c r="B21" s="2" t="inlineStr">
        <is>
          <t>Livestock introduction</t>
        </is>
      </c>
      <c r="C21" s="6" t="inlineStr">
        <is>
          <t>Goats tranche 1: month</t>
        </is>
      </c>
      <c r="D21" s="2" t="inlineStr">
        <is>
          <t>month #</t>
        </is>
      </c>
      <c r="E21" s="13" t="n">
        <v>9</v>
      </c>
      <c r="F21" s="13" t="n">
        <v>9</v>
      </c>
      <c r="G21" s="13" t="n">
        <v>9</v>
      </c>
      <c r="H21" s="14">
        <f>CHOOSE(Control!$C$6,E21,F21,G21)</f>
        <v/>
      </c>
      <c r="I21" s="3" t="inlineStr">
        <is>
          <t>A</t>
        </is>
      </c>
      <c r="J21" s="2" t="inlineStr">
        <is>
          <t>After fencing, water, house and forage</t>
        </is>
      </c>
    </row>
    <row r="22">
      <c r="A22" s="2" t="inlineStr">
        <is>
          <t>GT_T1F</t>
        </is>
      </c>
      <c r="B22" s="2" t="inlineStr">
        <is>
          <t>Livestock introduction</t>
        </is>
      </c>
      <c r="C22" s="6" t="inlineStr">
        <is>
          <t>Goats tranche 1: breeding females</t>
        </is>
      </c>
      <c r="D22" s="2" t="inlineStr">
        <is>
          <t>head</t>
        </is>
      </c>
      <c r="E22" s="13" t="n">
        <v>15</v>
      </c>
      <c r="F22" s="13" t="n">
        <v>20</v>
      </c>
      <c r="G22" s="13" t="n">
        <v>25</v>
      </c>
      <c r="H22" s="14">
        <f>CHOOSE(Control!$C$6,E22,F22,G22)</f>
        <v/>
      </c>
      <c r="I22" s="3" t="inlineStr">
        <is>
          <t>A</t>
        </is>
      </c>
      <c r="J22" s="2" t="inlineStr"/>
    </row>
    <row r="23">
      <c r="A23" s="2" t="inlineStr">
        <is>
          <t>GT_T1MALE</t>
        </is>
      </c>
      <c r="B23" s="2" t="inlineStr">
        <is>
          <t>Livestock introduction</t>
        </is>
      </c>
      <c r="C23" s="6" t="inlineStr">
        <is>
          <t>Goats tranche 1: breeding males</t>
        </is>
      </c>
      <c r="D23" s="2" t="inlineStr">
        <is>
          <t>head</t>
        </is>
      </c>
      <c r="E23" s="13" t="n">
        <v>1</v>
      </c>
      <c r="F23" s="13" t="n">
        <v>1</v>
      </c>
      <c r="G23" s="13" t="n">
        <v>1</v>
      </c>
      <c r="H23" s="14">
        <f>CHOOSE(Control!$C$6,E23,F23,G23)</f>
        <v/>
      </c>
      <c r="I23" s="3" t="inlineStr">
        <is>
          <t>A</t>
        </is>
      </c>
      <c r="J23" s="2" t="inlineStr"/>
    </row>
    <row r="24">
      <c r="A24" s="2" t="inlineStr">
        <is>
          <t>GT_T2M</t>
        </is>
      </c>
      <c r="B24" s="2" t="inlineStr">
        <is>
          <t>Livestock introduction</t>
        </is>
      </c>
      <c r="C24" s="6" t="inlineStr">
        <is>
          <t>Goats tranche 2: month</t>
        </is>
      </c>
      <c r="D24" s="2" t="inlineStr">
        <is>
          <t>month #</t>
        </is>
      </c>
      <c r="E24" s="13" t="n">
        <v>18</v>
      </c>
      <c r="F24" s="13" t="n">
        <v>18</v>
      </c>
      <c r="G24" s="13" t="n">
        <v>18</v>
      </c>
      <c r="H24" s="14">
        <f>CHOOSE(Control!$C$6,E24,F24,G24)</f>
        <v/>
      </c>
      <c r="I24" s="3" t="inlineStr">
        <is>
          <t>A</t>
        </is>
      </c>
      <c r="J24" s="2" t="inlineStr">
        <is>
          <t>After quarantine and first results</t>
        </is>
      </c>
    </row>
    <row r="25">
      <c r="A25" s="2" t="inlineStr">
        <is>
          <t>GT_T2F</t>
        </is>
      </c>
      <c r="B25" s="2" t="inlineStr">
        <is>
          <t>Livestock introduction</t>
        </is>
      </c>
      <c r="C25" s="6" t="inlineStr">
        <is>
          <t>Goats tranche 2: breeding females</t>
        </is>
      </c>
      <c r="D25" s="2" t="inlineStr">
        <is>
          <t>head</t>
        </is>
      </c>
      <c r="E25" s="13" t="n">
        <v>10</v>
      </c>
      <c r="F25" s="13" t="n">
        <v>15</v>
      </c>
      <c r="G25" s="13" t="n">
        <v>20</v>
      </c>
      <c r="H25" s="14">
        <f>CHOOSE(Control!$C$6,E25,F25,G25)</f>
        <v/>
      </c>
      <c r="I25" s="3" t="inlineStr">
        <is>
          <t>A</t>
        </is>
      </c>
      <c r="J25" s="2" t="inlineStr"/>
    </row>
    <row r="26">
      <c r="A26" s="2" t="inlineStr">
        <is>
          <t>GT_T2MALE</t>
        </is>
      </c>
      <c r="B26" s="2" t="inlineStr">
        <is>
          <t>Livestock introduction</t>
        </is>
      </c>
      <c r="C26" s="6" t="inlineStr">
        <is>
          <t>Goats tranche 2: breeding males</t>
        </is>
      </c>
      <c r="D26" s="2" t="inlineStr">
        <is>
          <t>head</t>
        </is>
      </c>
      <c r="E26" s="13" t="n">
        <v>0</v>
      </c>
      <c r="F26" s="13" t="n">
        <v>1</v>
      </c>
      <c r="G26" s="13" t="n">
        <v>1</v>
      </c>
      <c r="H26" s="14">
        <f>CHOOSE(Control!$C$6,E26,F26,G26)</f>
        <v/>
      </c>
      <c r="I26" s="3" t="inlineStr">
        <is>
          <t>A</t>
        </is>
      </c>
      <c r="J26" s="2" t="inlineStr"/>
    </row>
    <row r="27">
      <c r="A27" s="2" t="inlineStr">
        <is>
          <t>GT_TARGET</t>
        </is>
      </c>
      <c r="B27" s="2" t="inlineStr">
        <is>
          <t>Livestock introduction</t>
        </is>
      </c>
      <c r="C27" s="6" t="inlineStr">
        <is>
          <t>Goats: target breeding females</t>
        </is>
      </c>
      <c r="D27" s="2" t="inlineStr">
        <is>
          <t>head</t>
        </is>
      </c>
      <c r="E27" s="13" t="n">
        <v>40</v>
      </c>
      <c r="F27" s="13" t="n">
        <v>50</v>
      </c>
      <c r="G27" s="13" t="n">
        <v>60</v>
      </c>
      <c r="H27" s="14">
        <f>CHOOSE(Control!$C$6,E27,F27,G27)</f>
        <v/>
      </c>
      <c r="I27" s="3" t="inlineStr">
        <is>
          <t>A</t>
        </is>
      </c>
      <c r="J27" s="2" t="inlineStr">
        <is>
          <t>Check against the feed balance</t>
        </is>
      </c>
    </row>
    <row r="28">
      <c r="A28" s="2" t="inlineStr">
        <is>
          <t>SH_T1M</t>
        </is>
      </c>
      <c r="B28" s="2" t="inlineStr">
        <is>
          <t>Livestock introduction</t>
        </is>
      </c>
      <c r="C28" s="6" t="inlineStr">
        <is>
          <t>Sheep tranche 1: month</t>
        </is>
      </c>
      <c r="D28" s="2" t="inlineStr">
        <is>
          <t>month #</t>
        </is>
      </c>
      <c r="E28" s="13" t="n">
        <v>0</v>
      </c>
      <c r="F28" s="13" t="n">
        <v>12</v>
      </c>
      <c r="G28" s="13" t="n">
        <v>12</v>
      </c>
      <c r="H28" s="14">
        <f>CHOOSE(Control!$C$6,E28,F28,G28)</f>
        <v/>
      </c>
      <c r="I28" s="3" t="inlineStr">
        <is>
          <t>A</t>
        </is>
      </c>
      <c r="J28" s="2" t="inlineStr">
        <is>
          <t>0 = no sheep</t>
        </is>
      </c>
    </row>
    <row r="29">
      <c r="A29" s="2" t="inlineStr">
        <is>
          <t>SH_T1F</t>
        </is>
      </c>
      <c r="B29" s="2" t="inlineStr">
        <is>
          <t>Livestock introduction</t>
        </is>
      </c>
      <c r="C29" s="6" t="inlineStr">
        <is>
          <t>Sheep tranche 1: breeding females</t>
        </is>
      </c>
      <c r="D29" s="2" t="inlineStr">
        <is>
          <t>head</t>
        </is>
      </c>
      <c r="E29" s="13" t="n">
        <v>0</v>
      </c>
      <c r="F29" s="13" t="n">
        <v>10</v>
      </c>
      <c r="G29" s="13" t="n">
        <v>15</v>
      </c>
      <c r="H29" s="14">
        <f>CHOOSE(Control!$C$6,E29,F29,G29)</f>
        <v/>
      </c>
      <c r="I29" s="3" t="inlineStr">
        <is>
          <t>A</t>
        </is>
      </c>
      <c r="J29" s="2" t="inlineStr"/>
    </row>
    <row r="30">
      <c r="A30" s="2" t="inlineStr">
        <is>
          <t>SH_T1MALE</t>
        </is>
      </c>
      <c r="B30" s="2" t="inlineStr">
        <is>
          <t>Livestock introduction</t>
        </is>
      </c>
      <c r="C30" s="6" t="inlineStr">
        <is>
          <t>Sheep tranche 1: breeding males</t>
        </is>
      </c>
      <c r="D30" s="2" t="inlineStr">
        <is>
          <t>head</t>
        </is>
      </c>
      <c r="E30" s="13" t="n">
        <v>0</v>
      </c>
      <c r="F30" s="13" t="n">
        <v>1</v>
      </c>
      <c r="G30" s="13" t="n">
        <v>1</v>
      </c>
      <c r="H30" s="14">
        <f>CHOOSE(Control!$C$6,E30,F30,G30)</f>
        <v/>
      </c>
      <c r="I30" s="3" t="inlineStr">
        <is>
          <t>A</t>
        </is>
      </c>
      <c r="J30" s="2" t="inlineStr"/>
    </row>
    <row r="31">
      <c r="A31" s="2" t="inlineStr">
        <is>
          <t>SH_T2M</t>
        </is>
      </c>
      <c r="B31" s="2" t="inlineStr">
        <is>
          <t>Livestock introduction</t>
        </is>
      </c>
      <c r="C31" s="6" t="inlineStr">
        <is>
          <t>Sheep tranche 2: month</t>
        </is>
      </c>
      <c r="D31" s="2" t="inlineStr">
        <is>
          <t>month #</t>
        </is>
      </c>
      <c r="E31" s="13" t="n">
        <v>0</v>
      </c>
      <c r="F31" s="13" t="n">
        <v>0</v>
      </c>
      <c r="G31" s="13" t="n">
        <v>24</v>
      </c>
      <c r="H31" s="14">
        <f>CHOOSE(Control!$C$6,E31,F31,G31)</f>
        <v/>
      </c>
      <c r="I31" s="3" t="inlineStr">
        <is>
          <t>A</t>
        </is>
      </c>
      <c r="J31" s="2" t="inlineStr">
        <is>
          <t>0 = none</t>
        </is>
      </c>
    </row>
    <row r="32">
      <c r="A32" s="2" t="inlineStr">
        <is>
          <t>SH_T2F</t>
        </is>
      </c>
      <c r="B32" s="2" t="inlineStr">
        <is>
          <t>Livestock introduction</t>
        </is>
      </c>
      <c r="C32" s="6" t="inlineStr">
        <is>
          <t>Sheep tranche 2: breeding females</t>
        </is>
      </c>
      <c r="D32" s="2" t="inlineStr">
        <is>
          <t>head</t>
        </is>
      </c>
      <c r="E32" s="13" t="n">
        <v>0</v>
      </c>
      <c r="F32" s="13" t="n">
        <v>0</v>
      </c>
      <c r="G32" s="13" t="n">
        <v>10</v>
      </c>
      <c r="H32" s="14">
        <f>CHOOSE(Control!$C$6,E32,F32,G32)</f>
        <v/>
      </c>
      <c r="I32" s="3" t="inlineStr">
        <is>
          <t>A</t>
        </is>
      </c>
      <c r="J32" s="2" t="inlineStr"/>
    </row>
    <row r="33">
      <c r="A33" s="2" t="inlineStr">
        <is>
          <t>SH_T2MALE</t>
        </is>
      </c>
      <c r="B33" s="2" t="inlineStr">
        <is>
          <t>Livestock introduction</t>
        </is>
      </c>
      <c r="C33" s="6" t="inlineStr">
        <is>
          <t>Sheep tranche 2: breeding males</t>
        </is>
      </c>
      <c r="D33" s="2" t="inlineStr">
        <is>
          <t>head</t>
        </is>
      </c>
      <c r="E33" s="13" t="n">
        <v>0</v>
      </c>
      <c r="F33" s="13" t="n">
        <v>0</v>
      </c>
      <c r="G33" s="13" t="n">
        <v>0</v>
      </c>
      <c r="H33" s="14">
        <f>CHOOSE(Control!$C$6,E33,F33,G33)</f>
        <v/>
      </c>
      <c r="I33" s="3" t="inlineStr">
        <is>
          <t>A</t>
        </is>
      </c>
      <c r="J33" s="2" t="inlineStr"/>
    </row>
    <row r="34">
      <c r="A34" s="2" t="inlineStr">
        <is>
          <t>SH_TARGET</t>
        </is>
      </c>
      <c r="B34" s="2" t="inlineStr">
        <is>
          <t>Livestock introduction</t>
        </is>
      </c>
      <c r="C34" s="6" t="inlineStr">
        <is>
          <t>Sheep: target breeding females</t>
        </is>
      </c>
      <c r="D34" s="2" t="inlineStr">
        <is>
          <t>head</t>
        </is>
      </c>
      <c r="E34" s="13" t="n">
        <v>0</v>
      </c>
      <c r="F34" s="13" t="n">
        <v>20</v>
      </c>
      <c r="G34" s="13" t="n">
        <v>30</v>
      </c>
      <c r="H34" s="14">
        <f>CHOOSE(Control!$C$6,E34,F34,G34)</f>
        <v/>
      </c>
      <c r="I34" s="3" t="inlineStr">
        <is>
          <t>A</t>
        </is>
      </c>
      <c r="J34" s="2" t="inlineStr"/>
    </row>
    <row r="35">
      <c r="A35" s="11" t="n"/>
      <c r="B35" s="12" t="inlineStr">
        <is>
          <t>Livestock management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2" t="inlineStr">
        <is>
          <t>RETAIN</t>
        </is>
      </c>
      <c r="B36" s="2" t="inlineStr">
        <is>
          <t>Livestock management</t>
        </is>
      </c>
      <c r="C36" s="6" t="inlineStr">
        <is>
          <t>Share of female young kept as replacements (while below target)</t>
        </is>
      </c>
      <c r="D36" s="2" t="inlineStr">
        <is>
          <t>share</t>
        </is>
      </c>
      <c r="E36" s="17" t="n">
        <v>0.6</v>
      </c>
      <c r="F36" s="17" t="n">
        <v>0.5</v>
      </c>
      <c r="G36" s="17" t="n">
        <v>0.5</v>
      </c>
      <c r="H36" s="18">
        <f>CHOOSE(Control!$C$6,E36,F36,G36)</f>
        <v/>
      </c>
      <c r="I36" s="3" t="inlineStr">
        <is>
          <t>A</t>
        </is>
      </c>
      <c r="J36" s="2" t="inlineStr"/>
    </row>
    <row r="37">
      <c r="A37" s="2" t="inlineStr">
        <is>
          <t>BSHARE</t>
        </is>
      </c>
      <c r="B37" s="2" t="inlineStr">
        <is>
          <t>Livestock management</t>
        </is>
      </c>
      <c r="C37" s="6" t="inlineStr">
        <is>
          <t>Share of young stock sold as breeding stock</t>
        </is>
      </c>
      <c r="D37" s="2" t="inlineStr">
        <is>
          <t>share</t>
        </is>
      </c>
      <c r="E37" s="17" t="n">
        <v>0</v>
      </c>
      <c r="F37" s="17" t="n">
        <v>0.1</v>
      </c>
      <c r="G37" s="17" t="n">
        <v>0.2</v>
      </c>
      <c r="H37" s="18">
        <f>CHOOSE(Control!$C$6,E37,F37,G37)</f>
        <v/>
      </c>
      <c r="I37" s="3" t="inlineStr">
        <is>
          <t>A</t>
        </is>
      </c>
      <c r="J37" s="2" t="inlineStr">
        <is>
          <t>Needs records and genetics</t>
        </is>
      </c>
    </row>
    <row r="38">
      <c r="A38" s="2" t="inlineStr">
        <is>
          <t>CONSERVE</t>
        </is>
      </c>
      <c r="B38" s="2" t="inlineStr">
        <is>
          <t>Livestock management</t>
        </is>
      </c>
      <c r="C38" s="6" t="inlineStr">
        <is>
          <t>Share of surplus forage conserved (hay/silage)</t>
        </is>
      </c>
      <c r="D38" s="2" t="inlineStr">
        <is>
          <t>share</t>
        </is>
      </c>
      <c r="E38" s="17" t="n">
        <v>0.3</v>
      </c>
      <c r="F38" s="17" t="n">
        <v>0.5</v>
      </c>
      <c r="G38" s="17" t="n">
        <v>0.7</v>
      </c>
      <c r="H38" s="18">
        <f>CHOOSE(Control!$C$6,E38,F38,G38)</f>
        <v/>
      </c>
      <c r="I38" s="3" t="inlineStr">
        <is>
          <t>A</t>
        </is>
      </c>
      <c r="J38" s="2" t="inlineStr"/>
    </row>
    <row r="39">
      <c r="A39" s="11" t="n"/>
      <c r="B39" s="12" t="inlineStr">
        <is>
          <t>Operations</t>
        </is>
      </c>
      <c r="C39" s="11" t="n"/>
      <c r="D39" s="11" t="n"/>
      <c r="E39" s="11" t="n"/>
      <c r="F39" s="11" t="n"/>
      <c r="G39" s="11" t="n"/>
      <c r="H39" s="11" t="n"/>
      <c r="I39" s="11" t="n"/>
      <c r="J39" s="11" t="n"/>
    </row>
    <row r="40">
      <c r="A40" s="2" t="inlineStr">
        <is>
          <t>WORKERS</t>
        </is>
      </c>
      <c r="B40" s="2" t="inlineStr">
        <is>
          <t>Operations</t>
        </is>
      </c>
      <c r="C40" s="6" t="inlineStr">
        <is>
          <t>Permanent workers</t>
        </is>
      </c>
      <c r="D40" s="2" t="inlineStr">
        <is>
          <t>people</t>
        </is>
      </c>
      <c r="E40" s="13" t="n">
        <v>1</v>
      </c>
      <c r="F40" s="13" t="n">
        <v>2</v>
      </c>
      <c r="G40" s="13" t="n">
        <v>3</v>
      </c>
      <c r="H40" s="14">
        <f>CHOOSE(Control!$C$6,E40,F40,G40)</f>
        <v/>
      </c>
      <c r="I40" s="3" t="inlineStr">
        <is>
          <t>A</t>
        </is>
      </c>
      <c r="J40" s="2" t="inlineStr"/>
    </row>
    <row r="41">
      <c r="A41" s="11" t="n"/>
      <c r="B41" s="12" t="inlineStr">
        <is>
          <t>Capital items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2" t="inlineStr">
        <is>
          <t>SOIL_N</t>
        </is>
      </c>
      <c r="B42" s="2" t="inlineStr">
        <is>
          <t>Capital items</t>
        </is>
      </c>
      <c r="C42" s="6" t="inlineStr">
        <is>
          <t>Soil samples</t>
        </is>
      </c>
      <c r="D42" s="2" t="inlineStr">
        <is>
          <t>samples</t>
        </is>
      </c>
      <c r="E42" s="13" t="n">
        <v>6</v>
      </c>
      <c r="F42" s="13" t="n">
        <v>8</v>
      </c>
      <c r="G42" s="13" t="n">
        <v>10</v>
      </c>
      <c r="H42" s="14">
        <f>CHOOSE(Control!$C$6,E42,F42,G42)</f>
        <v/>
      </c>
      <c r="I42" s="3" t="inlineStr">
        <is>
          <t>A</t>
        </is>
      </c>
      <c r="J42" s="2" t="inlineStr">
        <is>
          <t>See soil-water-testing-plan.md</t>
        </is>
      </c>
    </row>
    <row r="43">
      <c r="A43" s="2" t="inlineStr">
        <is>
          <t>WATER_N</t>
        </is>
      </c>
      <c r="B43" s="2" t="inlineStr">
        <is>
          <t>Capital items</t>
        </is>
      </c>
      <c r="C43" s="6" t="inlineStr">
        <is>
          <t>Water samples</t>
        </is>
      </c>
      <c r="D43" s="2" t="inlineStr">
        <is>
          <t>samples</t>
        </is>
      </c>
      <c r="E43" s="13" t="n">
        <v>2</v>
      </c>
      <c r="F43" s="13" t="n">
        <v>3</v>
      </c>
      <c r="G43" s="13" t="n">
        <v>4</v>
      </c>
      <c r="H43" s="14">
        <f>CHOOSE(Control!$C$6,E43,F43,G43)</f>
        <v/>
      </c>
      <c r="I43" s="3" t="inlineStr">
        <is>
          <t>A</t>
        </is>
      </c>
      <c r="J43" s="2" t="inlineStr"/>
    </row>
    <row r="44">
      <c r="A44" s="2" t="inlineStr">
        <is>
          <t>IFENCE_M</t>
        </is>
      </c>
      <c r="B44" s="2" t="inlineStr">
        <is>
          <t>Capital items</t>
        </is>
      </c>
      <c r="C44" s="6" t="inlineStr">
        <is>
          <t>Internal paddock fence</t>
        </is>
      </c>
      <c r="D44" s="2" t="inlineStr">
        <is>
          <t>m per ha of Z3</t>
        </is>
      </c>
      <c r="E44" s="13" t="n">
        <v>250</v>
      </c>
      <c r="F44" s="13" t="n">
        <v>300</v>
      </c>
      <c r="G44" s="13" t="n">
        <v>350</v>
      </c>
      <c r="H44" s="14">
        <f>CHOOSE(Control!$C$6,E44,F44,G44)</f>
        <v/>
      </c>
      <c r="I44" s="3" t="inlineStr">
        <is>
          <t>A</t>
        </is>
      </c>
      <c r="J44" s="2" t="inlineStr"/>
    </row>
    <row r="45">
      <c r="A45" s="2" t="inlineStr">
        <is>
          <t>GATES</t>
        </is>
      </c>
      <c r="B45" s="2" t="inlineStr">
        <is>
          <t>Capital items</t>
        </is>
      </c>
      <c r="C45" s="6" t="inlineStr">
        <is>
          <t>Gates</t>
        </is>
      </c>
      <c r="D45" s="2" t="inlineStr">
        <is>
          <t>count</t>
        </is>
      </c>
      <c r="E45" s="13" t="n">
        <v>2</v>
      </c>
      <c r="F45" s="13" t="n">
        <v>3</v>
      </c>
      <c r="G45" s="13" t="n">
        <v>4</v>
      </c>
      <c r="H45" s="14">
        <f>CHOOSE(Control!$C$6,E45,F45,G45)</f>
        <v/>
      </c>
      <c r="I45" s="3" t="inlineStr">
        <is>
          <t>A</t>
        </is>
      </c>
      <c r="J45" s="2" t="inlineStr"/>
    </row>
    <row r="46">
      <c r="A46" s="2" t="inlineStr">
        <is>
          <t>STORAGE</t>
        </is>
      </c>
      <c r="B46" s="2" t="inlineStr">
        <is>
          <t>Capital items</t>
        </is>
      </c>
      <c r="C46" s="6" t="inlineStr">
        <is>
          <t>Water storage</t>
        </is>
      </c>
      <c r="D46" s="2" t="inlineStr">
        <is>
          <t>m3</t>
        </is>
      </c>
      <c r="E46" s="13" t="n">
        <v>10</v>
      </c>
      <c r="F46" s="13" t="n">
        <v>20</v>
      </c>
      <c r="G46" s="13" t="n">
        <v>40</v>
      </c>
      <c r="H46" s="14">
        <f>CHOOSE(Control!$C$6,E46,F46,G46)</f>
        <v/>
      </c>
      <c r="I46" s="3" t="inlineStr">
        <is>
          <t>A</t>
        </is>
      </c>
      <c r="J46" s="2" t="inlineStr"/>
    </row>
    <row r="47">
      <c r="A47" s="2" t="inlineStr">
        <is>
          <t>BOREHOLE</t>
        </is>
      </c>
      <c r="B47" s="2" t="inlineStr">
        <is>
          <t>Capital items</t>
        </is>
      </c>
      <c r="C47" s="6" t="inlineStr">
        <is>
          <t>Borehole (1 = yes)</t>
        </is>
      </c>
      <c r="D47" s="2" t="inlineStr">
        <is>
          <t>flag</t>
        </is>
      </c>
      <c r="E47" s="13" t="n">
        <v>0</v>
      </c>
      <c r="F47" s="13" t="n">
        <v>0</v>
      </c>
      <c r="G47" s="13" t="n">
        <v>1</v>
      </c>
      <c r="H47" s="14">
        <f>CHOOSE(Control!$C$6,E47,F47,G47)</f>
        <v/>
      </c>
      <c r="I47" s="3" t="inlineStr">
        <is>
          <t>U</t>
        </is>
      </c>
      <c r="J47" s="2" t="inlineStr">
        <is>
          <t>Only if legal and viable</t>
        </is>
      </c>
    </row>
    <row r="48">
      <c r="A48" s="2" t="inlineStr">
        <is>
          <t>SOLARPUMP</t>
        </is>
      </c>
      <c r="B48" s="2" t="inlineStr">
        <is>
          <t>Capital items</t>
        </is>
      </c>
      <c r="C48" s="6" t="inlineStr">
        <is>
          <t>Solar pump (1 = yes)</t>
        </is>
      </c>
      <c r="D48" s="2" t="inlineStr">
        <is>
          <t>flag</t>
        </is>
      </c>
      <c r="E48" s="13" t="n">
        <v>0</v>
      </c>
      <c r="F48" s="13" t="n">
        <v>1</v>
      </c>
      <c r="G48" s="13" t="n">
        <v>1</v>
      </c>
      <c r="H48" s="14">
        <f>CHOOSE(Control!$C$6,E48,F48,G48)</f>
        <v/>
      </c>
      <c r="I48" s="3" t="inlineStr">
        <is>
          <t>A</t>
        </is>
      </c>
      <c r="J48" s="2" t="inlineStr"/>
    </row>
    <row r="49">
      <c r="A49" s="2" t="inlineStr">
        <is>
          <t>DRIPON</t>
        </is>
      </c>
      <c r="B49" s="2" t="inlineStr">
        <is>
          <t>Capital items</t>
        </is>
      </c>
      <c r="C49" s="6" t="inlineStr">
        <is>
          <t>Drip on orchard (1 = yes)</t>
        </is>
      </c>
      <c r="D49" s="2" t="inlineStr">
        <is>
          <t>flag</t>
        </is>
      </c>
      <c r="E49" s="13" t="n">
        <v>0</v>
      </c>
      <c r="F49" s="13" t="n">
        <v>1</v>
      </c>
      <c r="G49" s="13" t="n">
        <v>1</v>
      </c>
      <c r="H49" s="14">
        <f>CHOOSE(Control!$C$6,E49,F49,G49)</f>
        <v/>
      </c>
      <c r="I49" s="3" t="inlineStr">
        <is>
          <t>A</t>
        </is>
      </c>
      <c r="J49" s="2" t="inlineStr"/>
    </row>
    <row r="50">
      <c r="A50" s="2" t="inlineStr">
        <is>
          <t>PV_KWP</t>
        </is>
      </c>
      <c r="B50" s="2" t="inlineStr">
        <is>
          <t>Capital items</t>
        </is>
      </c>
      <c r="C50" s="6" t="inlineStr">
        <is>
          <t>Solar PV size</t>
        </is>
      </c>
      <c r="D50" s="2" t="inlineStr">
        <is>
          <t>kWp</t>
        </is>
      </c>
      <c r="E50" s="19" t="n">
        <v>0.3</v>
      </c>
      <c r="F50" s="19" t="n">
        <v>0.6</v>
      </c>
      <c r="G50" s="19" t="n">
        <v>2</v>
      </c>
      <c r="H50" s="20">
        <f>CHOOSE(Control!$C$6,E50,F50,G50)</f>
        <v/>
      </c>
      <c r="I50" s="3" t="inlineStr">
        <is>
          <t>A</t>
        </is>
      </c>
      <c r="J50" s="2" t="inlineStr">
        <is>
          <t>Lights, sensors, comms</t>
        </is>
      </c>
    </row>
    <row r="51">
      <c r="A51" s="2" t="inlineStr">
        <is>
          <t>SENSORS</t>
        </is>
      </c>
      <c r="B51" s="2" t="inlineStr">
        <is>
          <t>Capital items</t>
        </is>
      </c>
      <c r="C51" s="6" t="inlineStr">
        <is>
          <t>Sensors and controllers</t>
        </is>
      </c>
      <c r="D51" s="2" t="inlineStr">
        <is>
          <t>RWF lump</t>
        </is>
      </c>
      <c r="E51" s="13" t="n">
        <v>150000</v>
      </c>
      <c r="F51" s="13" t="n">
        <v>600000</v>
      </c>
      <c r="G51" s="13" t="n">
        <v>3000000</v>
      </c>
      <c r="H51" s="14">
        <f>CHOOSE(Control!$C$6,E51,F51,G51)</f>
        <v/>
      </c>
      <c r="I51" s="3" t="inlineStr">
        <is>
          <t>A</t>
        </is>
      </c>
      <c r="J51" s="2" t="inlineStr">
        <is>
          <t>M1/M2 founder-built; M3 industrial-grade</t>
        </is>
      </c>
    </row>
    <row r="52">
      <c r="A52" s="2" t="inlineStr">
        <is>
          <t>CONNECT</t>
        </is>
      </c>
      <c r="B52" s="2" t="inlineStr">
        <is>
          <t>Capital items</t>
        </is>
      </c>
      <c r="C52" s="6" t="inlineStr">
        <is>
          <t>Connectivity (router, gateway)</t>
        </is>
      </c>
      <c r="D52" s="2" t="inlineStr">
        <is>
          <t>RWF lump</t>
        </is>
      </c>
      <c r="E52" s="13" t="n">
        <v>80000</v>
      </c>
      <c r="F52" s="13" t="n">
        <v>150000</v>
      </c>
      <c r="G52" s="13" t="n">
        <v>600000</v>
      </c>
      <c r="H52" s="14">
        <f>CHOOSE(Control!$C$6,E52,F52,G52)</f>
        <v/>
      </c>
      <c r="I52" s="3" t="inlineStr">
        <is>
          <t>A</t>
        </is>
      </c>
      <c r="J52" s="2" t="inlineStr"/>
    </row>
    <row r="53">
      <c r="A53" s="2" t="inlineStr">
        <is>
          <t>SOFTWARE</t>
        </is>
      </c>
      <c r="B53" s="2" t="inlineStr">
        <is>
          <t>Capital items</t>
        </is>
      </c>
      <c r="C53" s="6" t="inlineStr">
        <is>
          <t>Software and devices</t>
        </is>
      </c>
      <c r="D53" s="2" t="inlineStr">
        <is>
          <t>RWF lump</t>
        </is>
      </c>
      <c r="E53" s="13" t="n">
        <v>0</v>
      </c>
      <c r="F53" s="13" t="n">
        <v>0</v>
      </c>
      <c r="G53" s="13" t="n">
        <v>1500000</v>
      </c>
      <c r="H53" s="14">
        <f>CHOOSE(Control!$C$6,E53,F53,G53)</f>
        <v/>
      </c>
      <c r="I53" s="3" t="inlineStr">
        <is>
          <t>A</t>
        </is>
      </c>
      <c r="J53" s="2" t="inlineStr">
        <is>
          <t>Founder builds; hosting in opex</t>
        </is>
      </c>
    </row>
    <row r="54">
      <c r="A54" s="2" t="inlineStr">
        <is>
          <t>SECURITY</t>
        </is>
      </c>
      <c r="B54" s="2" t="inlineStr">
        <is>
          <t>Capital items</t>
        </is>
      </c>
      <c r="C54" s="6" t="inlineStr">
        <is>
          <t>Security (lights, cameras)</t>
        </is>
      </c>
      <c r="D54" s="2" t="inlineStr">
        <is>
          <t>RWF lump</t>
        </is>
      </c>
      <c r="E54" s="13" t="n">
        <v>200000</v>
      </c>
      <c r="F54" s="13" t="n">
        <v>500000</v>
      </c>
      <c r="G54" s="13" t="n">
        <v>1500000</v>
      </c>
      <c r="H54" s="14">
        <f>CHOOSE(Control!$C$6,E54,F54,G54)</f>
        <v/>
      </c>
      <c r="I54" s="3" t="inlineStr">
        <is>
          <t>A</t>
        </is>
      </c>
      <c r="J54" s="2" t="inlineStr"/>
    </row>
    <row r="55">
      <c r="A55" s="2" t="inlineStr">
        <is>
          <t>NURSERY</t>
        </is>
      </c>
      <c r="B55" s="2" t="inlineStr">
        <is>
          <t>Capital items</t>
        </is>
      </c>
      <c r="C55" s="6" t="inlineStr">
        <is>
          <t>Nursery (shade net, tools)</t>
        </is>
      </c>
      <c r="D55" s="2" t="inlineStr">
        <is>
          <t>RWF lump</t>
        </is>
      </c>
      <c r="E55" s="13" t="n">
        <v>0</v>
      </c>
      <c r="F55" s="13" t="n">
        <v>300000</v>
      </c>
      <c r="G55" s="13" t="n">
        <v>800000</v>
      </c>
      <c r="H55" s="14">
        <f>CHOOSE(Control!$C$6,E55,F55,G55)</f>
        <v/>
      </c>
      <c r="I55" s="3" t="inlineStr">
        <is>
          <t>A</t>
        </is>
      </c>
      <c r="J55" s="2" t="inlineStr"/>
    </row>
    <row r="56">
      <c r="A56" s="2" t="inlineStr">
        <is>
          <t>COOLSTORE</t>
        </is>
      </c>
      <c r="B56" s="2" t="inlineStr">
        <is>
          <t>Capital items</t>
        </is>
      </c>
      <c r="C56" s="6" t="inlineStr">
        <is>
          <t>Cool store / packhouse</t>
        </is>
      </c>
      <c r="D56" s="2" t="inlineStr">
        <is>
          <t>RWF lump</t>
        </is>
      </c>
      <c r="E56" s="13" t="n">
        <v>0</v>
      </c>
      <c r="F56" s="13" t="n">
        <v>0</v>
      </c>
      <c r="G56" s="13" t="n">
        <v>5000000</v>
      </c>
      <c r="H56" s="14">
        <f>CHOOSE(Control!$C$6,E56,F56,G56)</f>
        <v/>
      </c>
      <c r="I56" s="3" t="inlineStr">
        <is>
          <t>A</t>
        </is>
      </c>
      <c r="J56" s="2" t="inlineStr"/>
    </row>
    <row r="57">
      <c r="A57" s="2" t="inlineStr">
        <is>
          <t>FEEDSTORE</t>
        </is>
      </c>
      <c r="B57" s="2" t="inlineStr">
        <is>
          <t>Capital items</t>
        </is>
      </c>
      <c r="C57" s="6" t="inlineStr">
        <is>
          <t>Feed store</t>
        </is>
      </c>
      <c r="D57" s="2" t="inlineStr">
        <is>
          <t>RWF lump</t>
        </is>
      </c>
      <c r="E57" s="13" t="n">
        <v>500000</v>
      </c>
      <c r="F57" s="13" t="n">
        <v>800000</v>
      </c>
      <c r="G57" s="13" t="n">
        <v>1500000</v>
      </c>
      <c r="H57" s="14">
        <f>CHOOSE(Control!$C$6,E57,F57,G57)</f>
        <v/>
      </c>
      <c r="I57" s="3" t="inlineStr">
        <is>
          <t>A</t>
        </is>
      </c>
      <c r="J57" s="2" t="inlineStr"/>
    </row>
    <row r="58">
      <c r="A58" s="2" t="inlineStr">
        <is>
          <t>TOOLS</t>
        </is>
      </c>
      <c r="B58" s="2" t="inlineStr">
        <is>
          <t>Capital items</t>
        </is>
      </c>
      <c r="C58" s="6" t="inlineStr">
        <is>
          <t>Tools and small equipment</t>
        </is>
      </c>
      <c r="D58" s="2" t="inlineStr">
        <is>
          <t>RWF lump</t>
        </is>
      </c>
      <c r="E58" s="13" t="n">
        <v>600000</v>
      </c>
      <c r="F58" s="13" t="n">
        <v>900000</v>
      </c>
      <c r="G58" s="13" t="n">
        <v>1500000</v>
      </c>
      <c r="H58" s="14">
        <f>CHOOSE(Control!$C$6,E58,F58,G58)</f>
        <v/>
      </c>
      <c r="I58" s="3" t="inlineStr">
        <is>
          <t>A</t>
        </is>
      </c>
      <c r="J58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6" customWidth="1" min="16" max="16"/>
    <col width="7" customWidth="1" min="17" max="17"/>
    <col width="50" customWidth="1" min="18" max="18"/>
  </cols>
  <sheetData>
    <row r="1">
      <c r="A1" s="1" t="inlineStr">
        <is>
          <t>Curves</t>
        </is>
      </c>
    </row>
    <row r="2">
      <c r="A2" s="2" t="inlineStr">
        <is>
          <t>Yield per plant by farm year, harvest seasonality by calendar month, pasture growth by month.</t>
        </is>
      </c>
    </row>
    <row r="4">
      <c r="A4" s="5" t="inlineStr">
        <is>
          <t>ID</t>
        </is>
      </c>
      <c r="B4" s="5" t="inlineStr">
        <is>
          <t>Crop</t>
        </is>
      </c>
      <c r="C4" s="5" t="inlineStr">
        <is>
          <t>Unit</t>
        </is>
      </c>
      <c r="D4" s="5" t="inlineStr">
        <is>
          <t>Y1</t>
        </is>
      </c>
      <c r="E4" s="5" t="inlineStr">
        <is>
          <t>Y2</t>
        </is>
      </c>
      <c r="F4" s="5" t="inlineStr">
        <is>
          <t>Y3</t>
        </is>
      </c>
      <c r="G4" s="5" t="inlineStr">
        <is>
          <t>Y4</t>
        </is>
      </c>
      <c r="H4" s="5" t="inlineStr">
        <is>
          <t>Y5</t>
        </is>
      </c>
      <c r="I4" s="5" t="inlineStr">
        <is>
          <t>Y6</t>
        </is>
      </c>
      <c r="J4" s="5" t="inlineStr">
        <is>
          <t>Y7</t>
        </is>
      </c>
      <c r="K4" s="5" t="inlineStr">
        <is>
          <t>Y8</t>
        </is>
      </c>
      <c r="L4" s="5" t="inlineStr">
        <is>
          <t>Y9</t>
        </is>
      </c>
      <c r="M4" s="5" t="inlineStr">
        <is>
          <t>Y10</t>
        </is>
      </c>
      <c r="N4" s="5" t="inlineStr">
        <is>
          <t>Label</t>
        </is>
      </c>
      <c r="O4" s="5" t="inlineStr">
        <is>
          <t>Source / note</t>
        </is>
      </c>
    </row>
    <row r="5">
      <c r="A5" s="2" t="inlineStr">
        <is>
          <t>AVO_CURVE</t>
        </is>
      </c>
      <c r="B5" s="6" t="inlineStr">
        <is>
          <t>Avocado (grafted)</t>
        </is>
      </c>
      <c r="C5" s="2" t="inlineStr">
        <is>
          <t>kg per plant</t>
        </is>
      </c>
      <c r="D5" s="19" t="n">
        <v>0</v>
      </c>
      <c r="E5" s="19" t="n">
        <v>0</v>
      </c>
      <c r="F5" s="19" t="n">
        <v>5</v>
      </c>
      <c r="G5" s="19" t="n">
        <v>15</v>
      </c>
      <c r="H5" s="19" t="n">
        <v>30</v>
      </c>
      <c r="I5" s="19" t="n">
        <v>50</v>
      </c>
      <c r="J5" s="19" t="n">
        <v>70</v>
      </c>
      <c r="K5" s="19" t="n">
        <v>90</v>
      </c>
      <c r="L5" s="19" t="n">
        <v>100</v>
      </c>
      <c r="M5" s="19" t="n">
        <v>110</v>
      </c>
      <c r="N5" s="3" t="inlineStr">
        <is>
          <t>A</t>
        </is>
      </c>
      <c r="O5" s="2" t="inlineStr">
        <is>
          <t>placeholder — pending Stage 1 research. Planted in year 1; short-cycle crops repeat their first years.</t>
        </is>
      </c>
    </row>
    <row r="6">
      <c r="A6" s="2" t="inlineStr">
        <is>
          <t>MAN_CURVE</t>
        </is>
      </c>
      <c r="B6" s="6" t="inlineStr">
        <is>
          <t>Mango (grafted)</t>
        </is>
      </c>
      <c r="C6" s="2" t="inlineStr">
        <is>
          <t>kg per plant</t>
        </is>
      </c>
      <c r="D6" s="19" t="n">
        <v>0</v>
      </c>
      <c r="E6" s="19" t="n">
        <v>0</v>
      </c>
      <c r="F6" s="19" t="n">
        <v>5</v>
      </c>
      <c r="G6" s="19" t="n">
        <v>15</v>
      </c>
      <c r="H6" s="19" t="n">
        <v>30</v>
      </c>
      <c r="I6" s="19" t="n">
        <v>45</v>
      </c>
      <c r="J6" s="19" t="n">
        <v>60</v>
      </c>
      <c r="K6" s="19" t="n">
        <v>75</v>
      </c>
      <c r="L6" s="19" t="n">
        <v>90</v>
      </c>
      <c r="M6" s="19" t="n">
        <v>100</v>
      </c>
      <c r="N6" s="3" t="inlineStr">
        <is>
          <t>A</t>
        </is>
      </c>
      <c r="O6" s="2" t="inlineStr">
        <is>
          <t>placeholder — pending Stage 1 research. Planted in year 1; short-cycle crops repeat their first years.</t>
        </is>
      </c>
    </row>
    <row r="7">
      <c r="A7" s="2" t="inlineStr">
        <is>
          <t>PAS_CURVE</t>
        </is>
      </c>
      <c r="B7" s="6" t="inlineStr">
        <is>
          <t>Passion fruit</t>
        </is>
      </c>
      <c r="C7" s="2" t="inlineStr">
        <is>
          <t>kg per plant</t>
        </is>
      </c>
      <c r="D7" s="19" t="n">
        <v>2</v>
      </c>
      <c r="E7" s="19" t="n">
        <v>10</v>
      </c>
      <c r="F7" s="19" t="n">
        <v>6</v>
      </c>
      <c r="G7" s="19" t="n">
        <v>0</v>
      </c>
      <c r="H7" s="19" t="n">
        <v>0</v>
      </c>
      <c r="I7" s="19" t="n">
        <v>0</v>
      </c>
      <c r="J7" s="19" t="n">
        <v>0</v>
      </c>
      <c r="K7" s="19" t="n">
        <v>0</v>
      </c>
      <c r="L7" s="19" t="n">
        <v>0</v>
      </c>
      <c r="M7" s="19" t="n">
        <v>0</v>
      </c>
      <c r="N7" s="3" t="inlineStr">
        <is>
          <t>A</t>
        </is>
      </c>
      <c r="O7" s="2" t="inlineStr">
        <is>
          <t>placeholder — pending Stage 1 research. Planted in year 1; short-cycle crops repeat their first years.</t>
        </is>
      </c>
    </row>
    <row r="8">
      <c r="A8" s="2" t="inlineStr">
        <is>
          <t>PAP_CURVE</t>
        </is>
      </c>
      <c r="B8" s="6" t="inlineStr">
        <is>
          <t>Papaya</t>
        </is>
      </c>
      <c r="C8" s="2" t="inlineStr">
        <is>
          <t>kg per plant</t>
        </is>
      </c>
      <c r="D8" s="19" t="n">
        <v>5</v>
      </c>
      <c r="E8" s="19" t="n">
        <v>30</v>
      </c>
      <c r="F8" s="19" t="n">
        <v>20</v>
      </c>
      <c r="G8" s="19" t="n">
        <v>0</v>
      </c>
      <c r="H8" s="19" t="n">
        <v>0</v>
      </c>
      <c r="I8" s="19" t="n">
        <v>0</v>
      </c>
      <c r="J8" s="19" t="n">
        <v>0</v>
      </c>
      <c r="K8" s="19" t="n">
        <v>0</v>
      </c>
      <c r="L8" s="19" t="n">
        <v>0</v>
      </c>
      <c r="M8" s="19" t="n">
        <v>0</v>
      </c>
      <c r="N8" s="3" t="inlineStr">
        <is>
          <t>A</t>
        </is>
      </c>
      <c r="O8" s="2" t="inlineStr">
        <is>
          <t>placeholder — pending Stage 1 research. Planted in year 1; short-cycle crops repeat their first years.</t>
        </is>
      </c>
    </row>
    <row r="9">
      <c r="A9" s="2" t="inlineStr">
        <is>
          <t>TTO_CURVE</t>
        </is>
      </c>
      <c r="B9" s="6" t="inlineStr">
        <is>
          <t>Tree tomato</t>
        </is>
      </c>
      <c r="C9" s="2" t="inlineStr">
        <is>
          <t>kg per plant</t>
        </is>
      </c>
      <c r="D9" s="19" t="n">
        <v>0</v>
      </c>
      <c r="E9" s="19" t="n">
        <v>10</v>
      </c>
      <c r="F9" s="19" t="n">
        <v>15</v>
      </c>
      <c r="G9" s="19" t="n">
        <v>10</v>
      </c>
      <c r="H9" s="19" t="n">
        <v>0</v>
      </c>
      <c r="I9" s="19" t="n">
        <v>0</v>
      </c>
      <c r="J9" s="19" t="n">
        <v>0</v>
      </c>
      <c r="K9" s="19" t="n">
        <v>0</v>
      </c>
      <c r="L9" s="19" t="n">
        <v>0</v>
      </c>
      <c r="M9" s="19" t="n">
        <v>0</v>
      </c>
      <c r="N9" s="3" t="inlineStr">
        <is>
          <t>A</t>
        </is>
      </c>
      <c r="O9" s="2" t="inlineStr">
        <is>
          <t>placeholder — pending Stage 1 research. Planted in year 1; short-cycle crops repeat their first years.</t>
        </is>
      </c>
    </row>
    <row r="10">
      <c r="A10" s="2" t="inlineStr">
        <is>
          <t>CIT_CURVE</t>
        </is>
      </c>
      <c r="B10" s="6" t="inlineStr">
        <is>
          <t>Citrus</t>
        </is>
      </c>
      <c r="C10" s="2" t="inlineStr">
        <is>
          <t>kg per plant</t>
        </is>
      </c>
      <c r="D10" s="19" t="n">
        <v>0</v>
      </c>
      <c r="E10" s="19" t="n">
        <v>0</v>
      </c>
      <c r="F10" s="19" t="n">
        <v>5</v>
      </c>
      <c r="G10" s="19" t="n">
        <v>15</v>
      </c>
      <c r="H10" s="19" t="n">
        <v>30</v>
      </c>
      <c r="I10" s="19" t="n">
        <v>45</v>
      </c>
      <c r="J10" s="19" t="n">
        <v>60</v>
      </c>
      <c r="K10" s="19" t="n">
        <v>70</v>
      </c>
      <c r="L10" s="19" t="n">
        <v>80</v>
      </c>
      <c r="M10" s="19" t="n">
        <v>90</v>
      </c>
      <c r="N10" s="3" t="inlineStr">
        <is>
          <t>A</t>
        </is>
      </c>
      <c r="O10" s="2" t="inlineStr">
        <is>
          <t>placeholder — pending Stage 1 research. Planted in year 1; short-cycle crops repeat their first years.</t>
        </is>
      </c>
    </row>
    <row r="11">
      <c r="A11" s="2" t="inlineStr">
        <is>
          <t>MAC_CURVE</t>
        </is>
      </c>
      <c r="B11" s="6" t="inlineStr">
        <is>
          <t>Macadamia (nut in shell)</t>
        </is>
      </c>
      <c r="C11" s="2" t="inlineStr">
        <is>
          <t>kg per plant</t>
        </is>
      </c>
      <c r="D11" s="19" t="n">
        <v>0</v>
      </c>
      <c r="E11" s="19" t="n">
        <v>0</v>
      </c>
      <c r="F11" s="19" t="n">
        <v>0</v>
      </c>
      <c r="G11" s="19" t="n">
        <v>1</v>
      </c>
      <c r="H11" s="19" t="n">
        <v>3</v>
      </c>
      <c r="I11" s="19" t="n">
        <v>6</v>
      </c>
      <c r="J11" s="19" t="n">
        <v>9</v>
      </c>
      <c r="K11" s="19" t="n">
        <v>12</v>
      </c>
      <c r="L11" s="19" t="n">
        <v>15</v>
      </c>
      <c r="M11" s="19" t="n">
        <v>18</v>
      </c>
      <c r="N11" s="3" t="inlineStr">
        <is>
          <t>A</t>
        </is>
      </c>
      <c r="O11" s="2" t="inlineStr">
        <is>
          <t>placeholder — pending Stage 1 research. Planted in year 1; short-cycle crops repeat their first years.</t>
        </is>
      </c>
    </row>
    <row r="14">
      <c r="A14" s="5" t="inlineStr">
        <is>
          <t>ID</t>
        </is>
      </c>
      <c r="B14" s="5" t="inlineStr">
        <is>
          <t>Crop</t>
        </is>
      </c>
      <c r="C14" s="5" t="inlineStr">
        <is>
          <t>Unit</t>
        </is>
      </c>
      <c r="D14" s="5" t="inlineStr">
        <is>
          <t>Jan</t>
        </is>
      </c>
      <c r="E14" s="5" t="inlineStr">
        <is>
          <t>Feb</t>
        </is>
      </c>
      <c r="F14" s="5" t="inlineStr">
        <is>
          <t>Mar</t>
        </is>
      </c>
      <c r="G14" s="5" t="inlineStr">
        <is>
          <t>Apr</t>
        </is>
      </c>
      <c r="H14" s="5" t="inlineStr">
        <is>
          <t>May</t>
        </is>
      </c>
      <c r="I14" s="5" t="inlineStr">
        <is>
          <t>Jun</t>
        </is>
      </c>
      <c r="J14" s="5" t="inlineStr">
        <is>
          <t>Jul</t>
        </is>
      </c>
      <c r="K14" s="5" t="inlineStr">
        <is>
          <t>Aug</t>
        </is>
      </c>
      <c r="L14" s="5" t="inlineStr">
        <is>
          <t>Sep</t>
        </is>
      </c>
      <c r="M14" s="5" t="inlineStr">
        <is>
          <t>Oct</t>
        </is>
      </c>
      <c r="N14" s="5" t="inlineStr">
        <is>
          <t>Nov</t>
        </is>
      </c>
      <c r="O14" s="5" t="inlineStr">
        <is>
          <t>Dec</t>
        </is>
      </c>
      <c r="P14" s="5" t="inlineStr">
        <is>
          <t>Sum (must be 1)</t>
        </is>
      </c>
      <c r="Q14" s="5" t="inlineStr">
        <is>
          <t>Label</t>
        </is>
      </c>
      <c r="R14" s="5" t="inlineStr">
        <is>
          <t>Note</t>
        </is>
      </c>
    </row>
    <row r="15">
      <c r="A15" s="2" t="inlineStr">
        <is>
          <t>AVO_SEASON</t>
        </is>
      </c>
      <c r="B15" s="6" t="inlineStr">
        <is>
          <t>Avocado (grafted)</t>
        </is>
      </c>
      <c r="C15" s="2" t="inlineStr">
        <is>
          <t>share of year</t>
        </is>
      </c>
      <c r="D15" s="17" t="n">
        <v>0.083333</v>
      </c>
      <c r="E15" s="17" t="n">
        <v>0.083333</v>
      </c>
      <c r="F15" s="17" t="n">
        <v>0.083333</v>
      </c>
      <c r="G15" s="17" t="n">
        <v>0.083333</v>
      </c>
      <c r="H15" s="17" t="n">
        <v>0.083333</v>
      </c>
      <c r="I15" s="17" t="n">
        <v>0.083333</v>
      </c>
      <c r="J15" s="17" t="n">
        <v>0.083333</v>
      </c>
      <c r="K15" s="17" t="n">
        <v>0.083333</v>
      </c>
      <c r="L15" s="17" t="n">
        <v>0.083333</v>
      </c>
      <c r="M15" s="17" t="n">
        <v>0.083333</v>
      </c>
      <c r="N15" s="17" t="n">
        <v>0.083333</v>
      </c>
      <c r="O15" s="17" t="n">
        <v>0.08333699999999999</v>
      </c>
      <c r="P15" s="21">
        <f>SUM(D15:O15)</f>
        <v/>
      </c>
      <c r="Q15" s="3" t="inlineStr">
        <is>
          <t>A</t>
        </is>
      </c>
      <c r="R15" s="2" t="inlineStr">
        <is>
          <t>Uniform until the Rwandan harvest calendar is sourced</t>
        </is>
      </c>
    </row>
    <row r="16">
      <c r="A16" s="2" t="inlineStr">
        <is>
          <t>MAN_SEASON</t>
        </is>
      </c>
      <c r="B16" s="6" t="inlineStr">
        <is>
          <t>Mango (grafted)</t>
        </is>
      </c>
      <c r="C16" s="2" t="inlineStr">
        <is>
          <t>share of year</t>
        </is>
      </c>
      <c r="D16" s="17" t="n">
        <v>0.083333</v>
      </c>
      <c r="E16" s="17" t="n">
        <v>0.083333</v>
      </c>
      <c r="F16" s="17" t="n">
        <v>0.083333</v>
      </c>
      <c r="G16" s="17" t="n">
        <v>0.083333</v>
      </c>
      <c r="H16" s="17" t="n">
        <v>0.083333</v>
      </c>
      <c r="I16" s="17" t="n">
        <v>0.083333</v>
      </c>
      <c r="J16" s="17" t="n">
        <v>0.083333</v>
      </c>
      <c r="K16" s="17" t="n">
        <v>0.083333</v>
      </c>
      <c r="L16" s="17" t="n">
        <v>0.083333</v>
      </c>
      <c r="M16" s="17" t="n">
        <v>0.083333</v>
      </c>
      <c r="N16" s="17" t="n">
        <v>0.083333</v>
      </c>
      <c r="O16" s="17" t="n">
        <v>0.08333699999999999</v>
      </c>
      <c r="P16" s="21">
        <f>SUM(D16:O16)</f>
        <v/>
      </c>
      <c r="Q16" s="3" t="inlineStr">
        <is>
          <t>A</t>
        </is>
      </c>
      <c r="R16" s="2" t="inlineStr">
        <is>
          <t>Uniform until the Rwandan harvest calendar is sourced</t>
        </is>
      </c>
    </row>
    <row r="17">
      <c r="A17" s="2" t="inlineStr">
        <is>
          <t>PAS_SEASON</t>
        </is>
      </c>
      <c r="B17" s="6" t="inlineStr">
        <is>
          <t>Passion fruit</t>
        </is>
      </c>
      <c r="C17" s="2" t="inlineStr">
        <is>
          <t>share of year</t>
        </is>
      </c>
      <c r="D17" s="17" t="n">
        <v>0.083333</v>
      </c>
      <c r="E17" s="17" t="n">
        <v>0.083333</v>
      </c>
      <c r="F17" s="17" t="n">
        <v>0.083333</v>
      </c>
      <c r="G17" s="17" t="n">
        <v>0.083333</v>
      </c>
      <c r="H17" s="17" t="n">
        <v>0.083333</v>
      </c>
      <c r="I17" s="17" t="n">
        <v>0.083333</v>
      </c>
      <c r="J17" s="17" t="n">
        <v>0.083333</v>
      </c>
      <c r="K17" s="17" t="n">
        <v>0.083333</v>
      </c>
      <c r="L17" s="17" t="n">
        <v>0.083333</v>
      </c>
      <c r="M17" s="17" t="n">
        <v>0.083333</v>
      </c>
      <c r="N17" s="17" t="n">
        <v>0.083333</v>
      </c>
      <c r="O17" s="17" t="n">
        <v>0.08333699999999999</v>
      </c>
      <c r="P17" s="21">
        <f>SUM(D17:O17)</f>
        <v/>
      </c>
      <c r="Q17" s="3" t="inlineStr">
        <is>
          <t>A</t>
        </is>
      </c>
      <c r="R17" s="2" t="inlineStr">
        <is>
          <t>Uniform until the Rwandan harvest calendar is sourced</t>
        </is>
      </c>
    </row>
    <row r="18">
      <c r="A18" s="2" t="inlineStr">
        <is>
          <t>PAP_SEASON</t>
        </is>
      </c>
      <c r="B18" s="6" t="inlineStr">
        <is>
          <t>Papaya</t>
        </is>
      </c>
      <c r="C18" s="2" t="inlineStr">
        <is>
          <t>share of year</t>
        </is>
      </c>
      <c r="D18" s="17" t="n">
        <v>0.083333</v>
      </c>
      <c r="E18" s="17" t="n">
        <v>0.083333</v>
      </c>
      <c r="F18" s="17" t="n">
        <v>0.083333</v>
      </c>
      <c r="G18" s="17" t="n">
        <v>0.083333</v>
      </c>
      <c r="H18" s="17" t="n">
        <v>0.083333</v>
      </c>
      <c r="I18" s="17" t="n">
        <v>0.083333</v>
      </c>
      <c r="J18" s="17" t="n">
        <v>0.083333</v>
      </c>
      <c r="K18" s="17" t="n">
        <v>0.083333</v>
      </c>
      <c r="L18" s="17" t="n">
        <v>0.083333</v>
      </c>
      <c r="M18" s="17" t="n">
        <v>0.083333</v>
      </c>
      <c r="N18" s="17" t="n">
        <v>0.083333</v>
      </c>
      <c r="O18" s="17" t="n">
        <v>0.08333699999999999</v>
      </c>
      <c r="P18" s="21">
        <f>SUM(D18:O18)</f>
        <v/>
      </c>
      <c r="Q18" s="3" t="inlineStr">
        <is>
          <t>A</t>
        </is>
      </c>
      <c r="R18" s="2" t="inlineStr">
        <is>
          <t>Uniform until the Rwandan harvest calendar is sourced</t>
        </is>
      </c>
    </row>
    <row r="19">
      <c r="A19" s="2" t="inlineStr">
        <is>
          <t>TTO_SEASON</t>
        </is>
      </c>
      <c r="B19" s="6" t="inlineStr">
        <is>
          <t>Tree tomato</t>
        </is>
      </c>
      <c r="C19" s="2" t="inlineStr">
        <is>
          <t>share of year</t>
        </is>
      </c>
      <c r="D19" s="17" t="n">
        <v>0.083333</v>
      </c>
      <c r="E19" s="17" t="n">
        <v>0.083333</v>
      </c>
      <c r="F19" s="17" t="n">
        <v>0.083333</v>
      </c>
      <c r="G19" s="17" t="n">
        <v>0.083333</v>
      </c>
      <c r="H19" s="17" t="n">
        <v>0.083333</v>
      </c>
      <c r="I19" s="17" t="n">
        <v>0.083333</v>
      </c>
      <c r="J19" s="17" t="n">
        <v>0.083333</v>
      </c>
      <c r="K19" s="17" t="n">
        <v>0.083333</v>
      </c>
      <c r="L19" s="17" t="n">
        <v>0.083333</v>
      </c>
      <c r="M19" s="17" t="n">
        <v>0.083333</v>
      </c>
      <c r="N19" s="17" t="n">
        <v>0.083333</v>
      </c>
      <c r="O19" s="17" t="n">
        <v>0.08333699999999999</v>
      </c>
      <c r="P19" s="21">
        <f>SUM(D19:O19)</f>
        <v/>
      </c>
      <c r="Q19" s="3" t="inlineStr">
        <is>
          <t>A</t>
        </is>
      </c>
      <c r="R19" s="2" t="inlineStr">
        <is>
          <t>Uniform until the Rwandan harvest calendar is sourced</t>
        </is>
      </c>
    </row>
    <row r="20">
      <c r="A20" s="2" t="inlineStr">
        <is>
          <t>CIT_SEASON</t>
        </is>
      </c>
      <c r="B20" s="6" t="inlineStr">
        <is>
          <t>Citrus</t>
        </is>
      </c>
      <c r="C20" s="2" t="inlineStr">
        <is>
          <t>share of year</t>
        </is>
      </c>
      <c r="D20" s="17" t="n">
        <v>0.083333</v>
      </c>
      <c r="E20" s="17" t="n">
        <v>0.083333</v>
      </c>
      <c r="F20" s="17" t="n">
        <v>0.083333</v>
      </c>
      <c r="G20" s="17" t="n">
        <v>0.083333</v>
      </c>
      <c r="H20" s="17" t="n">
        <v>0.083333</v>
      </c>
      <c r="I20" s="17" t="n">
        <v>0.083333</v>
      </c>
      <c r="J20" s="17" t="n">
        <v>0.083333</v>
      </c>
      <c r="K20" s="17" t="n">
        <v>0.083333</v>
      </c>
      <c r="L20" s="17" t="n">
        <v>0.083333</v>
      </c>
      <c r="M20" s="17" t="n">
        <v>0.083333</v>
      </c>
      <c r="N20" s="17" t="n">
        <v>0.083333</v>
      </c>
      <c r="O20" s="17" t="n">
        <v>0.08333699999999999</v>
      </c>
      <c r="P20" s="21">
        <f>SUM(D20:O20)</f>
        <v/>
      </c>
      <c r="Q20" s="3" t="inlineStr">
        <is>
          <t>A</t>
        </is>
      </c>
      <c r="R20" s="2" t="inlineStr">
        <is>
          <t>Uniform until the Rwandan harvest calendar is sourced</t>
        </is>
      </c>
    </row>
    <row r="21">
      <c r="A21" s="2" t="inlineStr">
        <is>
          <t>MAC_SEASON</t>
        </is>
      </c>
      <c r="B21" s="6" t="inlineStr">
        <is>
          <t>Macadamia (nut in shell)</t>
        </is>
      </c>
      <c r="C21" s="2" t="inlineStr">
        <is>
          <t>share of year</t>
        </is>
      </c>
      <c r="D21" s="17" t="n">
        <v>0.083333</v>
      </c>
      <c r="E21" s="17" t="n">
        <v>0.083333</v>
      </c>
      <c r="F21" s="17" t="n">
        <v>0.083333</v>
      </c>
      <c r="G21" s="17" t="n">
        <v>0.083333</v>
      </c>
      <c r="H21" s="17" t="n">
        <v>0.083333</v>
      </c>
      <c r="I21" s="17" t="n">
        <v>0.083333</v>
      </c>
      <c r="J21" s="17" t="n">
        <v>0.083333</v>
      </c>
      <c r="K21" s="17" t="n">
        <v>0.083333</v>
      </c>
      <c r="L21" s="17" t="n">
        <v>0.083333</v>
      </c>
      <c r="M21" s="17" t="n">
        <v>0.083333</v>
      </c>
      <c r="N21" s="17" t="n">
        <v>0.083333</v>
      </c>
      <c r="O21" s="17" t="n">
        <v>0.08333699999999999</v>
      </c>
      <c r="P21" s="21">
        <f>SUM(D21:O21)</f>
        <v/>
      </c>
      <c r="Q21" s="3" t="inlineStr">
        <is>
          <t>A</t>
        </is>
      </c>
      <c r="R21" s="2" t="inlineStr">
        <is>
          <t>Uniform until the Rwandan harvest calendar is sourced</t>
        </is>
      </c>
    </row>
    <row r="24">
      <c r="A24" s="5" t="inlineStr">
        <is>
          <t>ID</t>
        </is>
      </c>
      <c r="B24" s="5" t="inlineStr">
        <is>
          <t>Series</t>
        </is>
      </c>
      <c r="C24" s="5" t="inlineStr">
        <is>
          <t>Unit</t>
        </is>
      </c>
      <c r="D24" s="5" t="inlineStr">
        <is>
          <t>Jan</t>
        </is>
      </c>
      <c r="E24" s="5" t="inlineStr">
        <is>
          <t>Feb</t>
        </is>
      </c>
      <c r="F24" s="5" t="inlineStr">
        <is>
          <t>Mar</t>
        </is>
      </c>
      <c r="G24" s="5" t="inlineStr">
        <is>
          <t>Apr</t>
        </is>
      </c>
      <c r="H24" s="5" t="inlineStr">
        <is>
          <t>May</t>
        </is>
      </c>
      <c r="I24" s="5" t="inlineStr">
        <is>
          <t>Jun</t>
        </is>
      </c>
      <c r="J24" s="5" t="inlineStr">
        <is>
          <t>Jul</t>
        </is>
      </c>
      <c r="K24" s="5" t="inlineStr">
        <is>
          <t>Aug</t>
        </is>
      </c>
      <c r="L24" s="5" t="inlineStr">
        <is>
          <t>Sep</t>
        </is>
      </c>
      <c r="M24" s="5" t="inlineStr">
        <is>
          <t>Oct</t>
        </is>
      </c>
      <c r="N24" s="5" t="inlineStr">
        <is>
          <t>Nov</t>
        </is>
      </c>
      <c r="O24" s="5" t="inlineStr">
        <is>
          <t>Dec</t>
        </is>
      </c>
      <c r="P24" s="5" t="inlineStr">
        <is>
          <t>Average (must be 1)</t>
        </is>
      </c>
      <c r="Q24" s="5" t="inlineStr">
        <is>
          <t>Label</t>
        </is>
      </c>
      <c r="R24" s="5" t="inlineStr">
        <is>
          <t>Note</t>
        </is>
      </c>
    </row>
    <row r="25">
      <c r="A25" s="2" t="inlineStr">
        <is>
          <t>PGROWTH</t>
        </is>
      </c>
      <c r="B25" s="6" t="inlineStr">
        <is>
          <t>Pasture growth factor</t>
        </is>
      </c>
      <c r="C25" s="2" t="inlineStr">
        <is>
          <t>x average</t>
        </is>
      </c>
      <c r="D25" s="15" t="n">
        <v>0.9</v>
      </c>
      <c r="E25" s="15" t="n">
        <v>0.8</v>
      </c>
      <c r="F25" s="15" t="n">
        <v>1.3</v>
      </c>
      <c r="G25" s="15" t="n">
        <v>1.5</v>
      </c>
      <c r="H25" s="15" t="n">
        <v>1.4</v>
      </c>
      <c r="I25" s="15" t="n">
        <v>0.6</v>
      </c>
      <c r="J25" s="15" t="n">
        <v>0.4</v>
      </c>
      <c r="K25" s="15" t="n">
        <v>0.4</v>
      </c>
      <c r="L25" s="15" t="n">
        <v>0.8</v>
      </c>
      <c r="M25" s="15" t="n">
        <v>1.2</v>
      </c>
      <c r="N25" s="15" t="n">
        <v>1.4</v>
      </c>
      <c r="O25" s="15" t="n">
        <v>1.3</v>
      </c>
      <c r="P25" s="22">
        <f>AVERAGE(D25:O25)</f>
        <v/>
      </c>
      <c r="Q25" s="3" t="inlineStr">
        <is>
          <t>A</t>
        </is>
      </c>
      <c r="R25" s="2" t="inlineStr">
        <is>
          <t>Shape follows the bimodal rains; calibrate to zone rainfall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60" customWidth="1" min="4" max="4"/>
    <col width="18" customWidth="1" min="5" max="5"/>
    <col width="14" customWidth="1" min="6" max="6"/>
    <col width="30" customWidth="1" min="7" max="7"/>
  </cols>
  <sheetData>
    <row r="1">
      <c r="A1" s="1" t="inlineStr">
        <is>
          <t>Sensitivity</t>
        </is>
      </c>
    </row>
    <row r="2">
      <c r="A2" s="2" t="inlineStr">
        <is>
          <t>Multipliers that flex the drivers that matter most. Leave at 1 (delay 0) for the plain scenario.</t>
        </is>
      </c>
    </row>
    <row r="4">
      <c r="A4" s="5" t="inlineStr">
        <is>
          <t>Key</t>
        </is>
      </c>
      <c r="B4" s="5" t="inlineStr">
        <is>
          <t>Driver</t>
        </is>
      </c>
      <c r="C4" s="5" t="inlineStr">
        <is>
          <t>Setting</t>
        </is>
      </c>
      <c r="D4" s="5" t="inlineStr">
        <is>
          <t>How it is applied</t>
        </is>
      </c>
    </row>
    <row r="5">
      <c r="A5" s="2" t="inlineStr">
        <is>
          <t>S_PRICE_FRUIT</t>
        </is>
      </c>
      <c r="B5" s="6" t="inlineStr">
        <is>
          <t>Fruit prices</t>
        </is>
      </c>
      <c r="C5" s="15" t="n">
        <v>1</v>
      </c>
      <c r="D5" s="2" t="inlineStr">
        <is>
          <t>Multiplies every fruit farm-gate price</t>
        </is>
      </c>
    </row>
    <row r="6">
      <c r="A6" s="2" t="inlineStr">
        <is>
          <t>S_PRICE_LIVE</t>
        </is>
      </c>
      <c r="B6" s="6" t="inlineStr">
        <is>
          <t>Livestock prices</t>
        </is>
      </c>
      <c r="C6" s="15" t="n">
        <v>1</v>
      </c>
      <c r="D6" s="2" t="inlineStr">
        <is>
          <t>Multiplies the live-weight price of goats and sheep</t>
        </is>
      </c>
    </row>
    <row r="7">
      <c r="A7" s="2" t="inlineStr">
        <is>
          <t>S_YIELD</t>
        </is>
      </c>
      <c r="B7" s="6" t="inlineStr">
        <is>
          <t>Fruit yields</t>
        </is>
      </c>
      <c r="C7" s="15" t="n">
        <v>1</v>
      </c>
      <c r="D7" s="2" t="inlineStr">
        <is>
          <t>Multiplies every yield curve</t>
        </is>
      </c>
    </row>
    <row r="8">
      <c r="A8" s="2" t="inlineStr">
        <is>
          <t>S_MORT</t>
        </is>
      </c>
      <c r="B8" s="6" t="inlineStr">
        <is>
          <t>Livestock mortality</t>
        </is>
      </c>
      <c r="C8" s="15" t="n">
        <v>1</v>
      </c>
      <c r="D8" s="2" t="inlineStr">
        <is>
          <t>Multiplies young and adult mortality</t>
        </is>
      </c>
    </row>
    <row r="9">
      <c r="A9" s="2" t="inlineStr">
        <is>
          <t>S_FEED</t>
        </is>
      </c>
      <c r="B9" s="6" t="inlineStr">
        <is>
          <t>Purchased feed cost</t>
        </is>
      </c>
      <c r="C9" s="15" t="n">
        <v>1</v>
      </c>
      <c r="D9" s="2" t="inlineStr">
        <is>
          <t>Multiplies the purchased-feed price</t>
        </is>
      </c>
    </row>
    <row r="10">
      <c r="A10" s="2" t="inlineStr">
        <is>
          <t>S_LABOR</t>
        </is>
      </c>
      <c r="B10" s="6" t="inlineStr">
        <is>
          <t>Labour cost</t>
        </is>
      </c>
      <c r="C10" s="15" t="n">
        <v>1</v>
      </c>
      <c r="D10" s="2" t="inlineStr">
        <is>
          <t>Multiplies permanent and casual wages</t>
        </is>
      </c>
    </row>
    <row r="11">
      <c r="A11" s="2" t="inlineStr">
        <is>
          <t>S_CAPEX</t>
        </is>
      </c>
      <c r="B11" s="6" t="inlineStr">
        <is>
          <t>Capital costs</t>
        </is>
      </c>
      <c r="C11" s="15" t="n">
        <v>1</v>
      </c>
      <c r="D11" s="2" t="inlineStr">
        <is>
          <t>Multiplies every capital item, seedling and animal purchase</t>
        </is>
      </c>
    </row>
    <row r="12">
      <c r="A12" s="2" t="inlineStr">
        <is>
          <t>S_TRANS</t>
        </is>
      </c>
      <c r="B12" s="6" t="inlineStr">
        <is>
          <t>Transport cost</t>
        </is>
      </c>
      <c r="C12" s="15" t="n">
        <v>1</v>
      </c>
      <c r="D12" s="2" t="inlineStr">
        <is>
          <t>Multiplies transport per kg and per head</t>
        </is>
      </c>
    </row>
    <row r="13">
      <c r="A13" s="2" t="inlineStr">
        <is>
          <t>S_DELAY</t>
        </is>
      </c>
      <c r="B13" s="6" t="inlineStr">
        <is>
          <t>Delay to tree maturity</t>
        </is>
      </c>
      <c r="C13" s="23" t="n">
        <v>0</v>
      </c>
      <c r="D13" s="2" t="inlineStr">
        <is>
          <t>Years added before perennial trees start their yield curve</t>
        </is>
      </c>
    </row>
    <row r="16">
      <c r="B16" s="3" t="inlineStr">
        <is>
          <t>Results log (Stage 3): set one driver at a time to 0.8 and 1.2, record the outputs, reset to 1.</t>
        </is>
      </c>
    </row>
    <row r="17">
      <c r="A17" s="5" t="inlineStr"/>
      <c r="B17" s="5" t="inlineStr">
        <is>
          <t>Driver</t>
        </is>
      </c>
      <c r="C17" s="5" t="inlineStr">
        <is>
          <t>Setting</t>
        </is>
      </c>
      <c r="D17" s="5" t="inlineStr">
        <is>
          <t>NPV (RWF)</t>
        </is>
      </c>
      <c r="E17" s="5" t="inlineStr">
        <is>
          <t>Funding gap (RWF)</t>
        </is>
      </c>
      <c r="F17" s="5" t="inlineStr">
        <is>
          <t>Payback year</t>
        </is>
      </c>
      <c r="G17" s="5" t="inlineStr">
        <is>
          <t>Date / note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4" customWidth="1" min="3" max="3"/>
    <col width="8" customWidth="1" min="4" max="4"/>
  </cols>
  <sheetData>
    <row r="1">
      <c r="A1" s="1" t="inlineStr">
        <is>
          <t>Land</t>
        </is>
      </c>
    </row>
    <row r="2">
      <c r="A2" s="2" t="inlineStr">
        <is>
          <t>Areas by zone and crop for the selected model.</t>
        </is>
      </c>
    </row>
    <row r="3">
      <c r="A3" s="5" t="inlineStr">
        <is>
          <t>Key</t>
        </is>
      </c>
      <c r="B3" s="5" t="inlineStr">
        <is>
          <t>Item</t>
        </is>
      </c>
      <c r="C3" s="5" t="inlineStr">
        <is>
          <t>Value</t>
        </is>
      </c>
      <c r="D3" s="5" t="inlineStr">
        <is>
          <t>Unit</t>
        </is>
      </c>
    </row>
    <row r="4">
      <c r="A4" s="2" t="inlineStr">
        <is>
          <t>L_AREA</t>
        </is>
      </c>
      <c r="B4" s="6" t="inlineStr">
        <is>
          <t>Total area</t>
        </is>
      </c>
      <c r="C4" s="24">
        <f>Control!$C$7</f>
        <v/>
      </c>
      <c r="D4" s="2" t="inlineStr">
        <is>
          <t>ha</t>
        </is>
      </c>
    </row>
    <row r="5">
      <c r="A5" s="2" t="inlineStr">
        <is>
          <t>L_PERIM</t>
        </is>
      </c>
      <c r="B5" s="6" t="inlineStr">
        <is>
          <t>Perimeter of a square of that area</t>
        </is>
      </c>
      <c r="C5" s="25">
        <f>4*SQRT(C4*10000)</f>
        <v/>
      </c>
      <c r="D5" s="2" t="inlineStr">
        <is>
          <t>m</t>
        </is>
      </c>
    </row>
    <row r="6">
      <c r="A6" s="2" t="inlineStr">
        <is>
          <t>L_BOUND</t>
        </is>
      </c>
      <c r="B6" s="6" t="inlineStr">
        <is>
          <t>Boundary length with shape factor</t>
        </is>
      </c>
      <c r="C6" s="25">
        <f>C5*Assumptions!$H$184</f>
        <v/>
      </c>
      <c r="D6" s="2" t="inlineStr">
        <is>
          <t>m</t>
        </is>
      </c>
    </row>
    <row r="7">
      <c r="A7" s="2" t="inlineStr">
        <is>
          <t>L_Z01</t>
        </is>
      </c>
      <c r="B7" s="6" t="inlineStr">
        <is>
          <t>Z0+Z1 base, store, nursery</t>
        </is>
      </c>
      <c r="C7" s="22">
        <f>C4*Models!$H$6</f>
        <v/>
      </c>
      <c r="D7" s="2" t="inlineStr">
        <is>
          <t>ha</t>
        </is>
      </c>
    </row>
    <row r="8">
      <c r="A8" s="2" t="inlineStr">
        <is>
          <t>L_Z2</t>
        </is>
      </c>
      <c r="B8" s="6" t="inlineStr">
        <is>
          <t>Z2 orchard</t>
        </is>
      </c>
      <c r="C8" s="22">
        <f>C4*Models!$H$7</f>
        <v/>
      </c>
      <c r="D8" s="2" t="inlineStr">
        <is>
          <t>ha</t>
        </is>
      </c>
    </row>
    <row r="9">
      <c r="A9" s="2" t="inlineStr">
        <is>
          <t>L_Z3</t>
        </is>
      </c>
      <c r="B9" s="6" t="inlineStr">
        <is>
          <t>Z3 paddocks and fodder bank</t>
        </is>
      </c>
      <c r="C9" s="22">
        <f>C4*Models!$H$8</f>
        <v/>
      </c>
      <c r="D9" s="2" t="inlineStr">
        <is>
          <t>ha</t>
        </is>
      </c>
    </row>
    <row r="10">
      <c r="A10" s="2" t="inlineStr">
        <is>
          <t>L_Z4</t>
        </is>
      </c>
      <c r="B10" s="6" t="inlineStr">
        <is>
          <t>Z4 boundary and shelter trees</t>
        </is>
      </c>
      <c r="C10" s="22">
        <f>C4*Models!$H$9</f>
        <v/>
      </c>
      <c r="D10" s="2" t="inlineStr">
        <is>
          <t>ha</t>
        </is>
      </c>
    </row>
    <row r="11">
      <c r="A11" s="2" t="inlineStr">
        <is>
          <t>L_Z5</t>
        </is>
      </c>
      <c r="B11" s="6" t="inlineStr">
        <is>
          <t>Z5 buffer and conservation</t>
        </is>
      </c>
      <c r="C11" s="22">
        <f>C4*Models!$H$10</f>
        <v/>
      </c>
      <c r="D11" s="2" t="inlineStr">
        <is>
          <t>ha</t>
        </is>
      </c>
    </row>
    <row r="12">
      <c r="A12" s="2" t="inlineStr">
        <is>
          <t>L_PADDOCK</t>
        </is>
      </c>
      <c r="B12" s="6" t="inlineStr">
        <is>
          <t>Paddocks (grazed)</t>
        </is>
      </c>
      <c r="C12" s="22">
        <f>C9*(1-Models!$H$11)</f>
        <v/>
      </c>
      <c r="D12" s="2" t="inlineStr">
        <is>
          <t>ha</t>
        </is>
      </c>
    </row>
    <row r="13">
      <c r="A13" s="2" t="inlineStr">
        <is>
          <t>L_FODDER</t>
        </is>
      </c>
      <c r="B13" s="6" t="inlineStr">
        <is>
          <t>Fodder bank (cut-and-carry)</t>
        </is>
      </c>
      <c r="C13" s="22">
        <f>C9*Models!$H$11</f>
        <v/>
      </c>
      <c r="D13" s="2" t="inlineStr">
        <is>
          <t>ha</t>
        </is>
      </c>
    </row>
    <row r="15">
      <c r="A15" s="11" t="n"/>
      <c r="B15" s="12" t="inlineStr">
        <is>
          <t>Orchard by crop</t>
        </is>
      </c>
      <c r="C15" s="11" t="n"/>
      <c r="D15" s="11" t="n"/>
    </row>
    <row r="16">
      <c r="A16" s="2" t="inlineStr">
        <is>
          <t>L_AVO</t>
        </is>
      </c>
      <c r="B16" s="6" t="inlineStr">
        <is>
          <t>Avocado (grafted)</t>
        </is>
      </c>
      <c r="C16" s="22">
        <f>Land!$C$8*Models!$H$13</f>
        <v/>
      </c>
      <c r="D16" s="2" t="inlineStr">
        <is>
          <t>ha</t>
        </is>
      </c>
    </row>
    <row r="17">
      <c r="A17" s="2" t="inlineStr">
        <is>
          <t>L_MAN</t>
        </is>
      </c>
      <c r="B17" s="6" t="inlineStr">
        <is>
          <t>Mango (grafted)</t>
        </is>
      </c>
      <c r="C17" s="22">
        <f>Land!$C$8*Models!$H$14</f>
        <v/>
      </c>
      <c r="D17" s="2" t="inlineStr">
        <is>
          <t>ha</t>
        </is>
      </c>
    </row>
    <row r="18">
      <c r="A18" s="2" t="inlineStr">
        <is>
          <t>L_PAS</t>
        </is>
      </c>
      <c r="B18" s="6" t="inlineStr">
        <is>
          <t>Passion fruit</t>
        </is>
      </c>
      <c r="C18" s="22">
        <f>Land!$C$8*Models!$H$15</f>
        <v/>
      </c>
      <c r="D18" s="2" t="inlineStr">
        <is>
          <t>ha</t>
        </is>
      </c>
    </row>
    <row r="19">
      <c r="A19" s="2" t="inlineStr">
        <is>
          <t>L_PAP</t>
        </is>
      </c>
      <c r="B19" s="6" t="inlineStr">
        <is>
          <t>Papaya</t>
        </is>
      </c>
      <c r="C19" s="22">
        <f>Land!$C$8*Models!$H$16</f>
        <v/>
      </c>
      <c r="D19" s="2" t="inlineStr">
        <is>
          <t>ha</t>
        </is>
      </c>
    </row>
    <row r="20">
      <c r="A20" s="2" t="inlineStr">
        <is>
          <t>L_TTO</t>
        </is>
      </c>
      <c r="B20" s="6" t="inlineStr">
        <is>
          <t>Tree tomato</t>
        </is>
      </c>
      <c r="C20" s="22">
        <f>Land!$C$8*Models!$H$17</f>
        <v/>
      </c>
      <c r="D20" s="2" t="inlineStr">
        <is>
          <t>ha</t>
        </is>
      </c>
    </row>
    <row r="21">
      <c r="A21" s="2" t="inlineStr">
        <is>
          <t>L_CIT</t>
        </is>
      </c>
      <c r="B21" s="6" t="inlineStr">
        <is>
          <t>Citrus</t>
        </is>
      </c>
      <c r="C21" s="22">
        <f>Land!$C$8*Models!$H$18</f>
        <v/>
      </c>
      <c r="D21" s="2" t="inlineStr">
        <is>
          <t>ha</t>
        </is>
      </c>
    </row>
    <row r="22">
      <c r="A22" s="2" t="inlineStr">
        <is>
          <t>L_MAC</t>
        </is>
      </c>
      <c r="B22" s="6" t="inlineStr">
        <is>
          <t>Macadamia (nut in shell)</t>
        </is>
      </c>
      <c r="C22" s="22">
        <f>Land!$C$8*Models!$H$19</f>
        <v/>
      </c>
      <c r="D22" s="2" t="inlineStr">
        <is>
          <t>ha</t>
        </is>
      </c>
    </row>
    <row r="24">
      <c r="A24" s="11" t="n"/>
      <c r="B24" s="12" t="inlineStr">
        <is>
          <t>Checks</t>
        </is>
      </c>
      <c r="C24" s="11" t="n"/>
      <c r="D24" s="11" t="n"/>
    </row>
    <row r="25">
      <c r="B25" s="6" t="inlineStr">
        <is>
          <t>Land shares sum to 100%</t>
        </is>
      </c>
      <c r="C25" s="26">
        <f>Models!$H$6+Models!$H$7+Models!$H$8+Models!$H$9+Models!$H$10</f>
        <v/>
      </c>
    </row>
    <row r="26">
      <c r="B26" s="6" t="inlineStr">
        <is>
          <t>Orchard mix sums to 100%</t>
        </is>
      </c>
      <c r="C26" s="26">
        <f>Models!$H$13+Models!$H$14+Models!$H$15+Models!$H$16+Models!$H$17+Models!$H$18+Models!$H$19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Trees</t>
        </is>
      </c>
    </row>
    <row r="2">
      <c r="A2" s="2" t="inlineStr">
        <is>
          <t>Annual orchard and boundary-tree engine for the selected model and scenario.</t>
        </is>
      </c>
    </row>
    <row r="3">
      <c r="B3" s="3" t="inlineStr">
        <is>
          <t>Farm year</t>
        </is>
      </c>
      <c r="D3" s="27" t="n">
        <v>1</v>
      </c>
      <c r="E3" s="27" t="n">
        <v>2</v>
      </c>
      <c r="F3" s="27" t="n">
        <v>3</v>
      </c>
      <c r="G3" s="27" t="n">
        <v>4</v>
      </c>
      <c r="H3" s="27" t="n">
        <v>5</v>
      </c>
      <c r="I3" s="27" t="n">
        <v>6</v>
      </c>
      <c r="J3" s="27" t="n">
        <v>7</v>
      </c>
      <c r="K3" s="27" t="n">
        <v>8</v>
      </c>
      <c r="L3" s="27" t="n">
        <v>9</v>
      </c>
      <c r="M3" s="27" t="n">
        <v>10</v>
      </c>
    </row>
    <row r="5">
      <c r="A5" s="11" t="n"/>
      <c r="B5" s="12" t="inlineStr">
        <is>
          <t>Avocado (grafted)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2" t="inlineStr">
        <is>
          <t>AVO_AREA</t>
        </is>
      </c>
      <c r="B6" s="6" t="inlineStr">
        <is>
          <t>Area</t>
        </is>
      </c>
      <c r="C6" s="24">
        <f>Land!$C$16</f>
        <v/>
      </c>
    </row>
    <row r="7">
      <c r="A7" s="2" t="inlineStr">
        <is>
          <t>AVO_PLANTS</t>
        </is>
      </c>
      <c r="B7" s="6" t="inlineStr">
        <is>
          <t>Plants planted</t>
        </is>
      </c>
      <c r="C7" s="25">
        <f>ROUND(C6*Assumptions!$H$121,0)</f>
        <v/>
      </c>
    </row>
    <row r="8">
      <c r="A8" s="2" t="inlineStr">
        <is>
          <t>AVO_STAND</t>
        </is>
      </c>
      <c r="B8" s="6" t="inlineStr">
        <is>
          <t>Final stand</t>
        </is>
      </c>
      <c r="C8" s="25">
        <f>C7*Assumptions!$H$122</f>
        <v/>
      </c>
    </row>
    <row r="9">
      <c r="A9" s="2" t="inlineStr">
        <is>
          <t>AVO_EST</t>
        </is>
      </c>
      <c r="B9" s="6" t="inlineStr">
        <is>
          <t>Establishment cost</t>
        </is>
      </c>
      <c r="C9" s="25">
        <f>C7*(Assumptions!$H$123+Assumptions!$H$124)*Sensitivity!$C$11</f>
        <v/>
      </c>
    </row>
    <row r="10">
      <c r="A10" s="2" t="inlineStr">
        <is>
          <t>AVO_GAP</t>
        </is>
      </c>
      <c r="B10" s="6" t="inlineStr">
        <is>
          <t>Gap-filling cost (year 2)</t>
        </is>
      </c>
      <c r="C10" s="25">
        <f>C7*(1-Assumptions!$H$122)*Assumptions!$H$123*Sensitivity!$C$11</f>
        <v/>
      </c>
    </row>
    <row r="11">
      <c r="A11" s="2" t="inlineStr">
        <is>
          <t>AVO_AGE</t>
        </is>
      </c>
      <c r="B11" s="6" t="inlineStr">
        <is>
          <t>Age in production cycle</t>
        </is>
      </c>
      <c r="C11" s="2" t="inlineStr">
        <is>
          <t>years</t>
        </is>
      </c>
      <c r="D11" s="28">
        <f>IF(Assumptions!$H$128=0,D$3-Sensitivity!$C$13,MOD(D$3-1,MAX(1,Assumptions!$H$128))+1)</f>
        <v/>
      </c>
      <c r="E11" s="28">
        <f>IF(Assumptions!$H$128=0,E$3-Sensitivity!$C$13,MOD(E$3-1,MAX(1,Assumptions!$H$128))+1)</f>
        <v/>
      </c>
      <c r="F11" s="28">
        <f>IF(Assumptions!$H$128=0,F$3-Sensitivity!$C$13,MOD(F$3-1,MAX(1,Assumptions!$H$128))+1)</f>
        <v/>
      </c>
      <c r="G11" s="28">
        <f>IF(Assumptions!$H$128=0,G$3-Sensitivity!$C$13,MOD(G$3-1,MAX(1,Assumptions!$H$128))+1)</f>
        <v/>
      </c>
      <c r="H11" s="28">
        <f>IF(Assumptions!$H$128=0,H$3-Sensitivity!$C$13,MOD(H$3-1,MAX(1,Assumptions!$H$128))+1)</f>
        <v/>
      </c>
      <c r="I11" s="28">
        <f>IF(Assumptions!$H$128=0,I$3-Sensitivity!$C$13,MOD(I$3-1,MAX(1,Assumptions!$H$128))+1)</f>
        <v/>
      </c>
      <c r="J11" s="28">
        <f>IF(Assumptions!$H$128=0,J$3-Sensitivity!$C$13,MOD(J$3-1,MAX(1,Assumptions!$H$128))+1)</f>
        <v/>
      </c>
      <c r="K11" s="28">
        <f>IF(Assumptions!$H$128=0,K$3-Sensitivity!$C$13,MOD(K$3-1,MAX(1,Assumptions!$H$128))+1)</f>
        <v/>
      </c>
      <c r="L11" s="28">
        <f>IF(Assumptions!$H$128=0,L$3-Sensitivity!$C$13,MOD(L$3-1,MAX(1,Assumptions!$H$128))+1)</f>
        <v/>
      </c>
      <c r="M11" s="28">
        <f>IF(Assumptions!$H$128=0,M$3-Sensitivity!$C$13,MOD(M$3-1,MAX(1,Assumptions!$H$128))+1)</f>
        <v/>
      </c>
    </row>
    <row r="12">
      <c r="A12" s="2" t="inlineStr">
        <is>
          <t>AVO_YLD</t>
        </is>
      </c>
      <c r="B12" s="6" t="inlineStr">
        <is>
          <t>Yield per plant</t>
        </is>
      </c>
      <c r="C12" s="2" t="inlineStr">
        <is>
          <t>kg</t>
        </is>
      </c>
      <c r="D12" s="29">
        <f>IF(D11&gt;=1,INDEX(Curves!$D$5:$M$5,1,MIN(10,MAX(1,D11))),0)*Assumptions!$H$125*Sensitivity!$C$7</f>
        <v/>
      </c>
      <c r="E12" s="29">
        <f>IF(E11&gt;=1,INDEX(Curves!$D$5:$M$5,1,MIN(10,MAX(1,E11))),0)*Assumptions!$H$125*Sensitivity!$C$7</f>
        <v/>
      </c>
      <c r="F12" s="29">
        <f>IF(F11&gt;=1,INDEX(Curves!$D$5:$M$5,1,MIN(10,MAX(1,F11))),0)*Assumptions!$H$125*Sensitivity!$C$7</f>
        <v/>
      </c>
      <c r="G12" s="29">
        <f>IF(G11&gt;=1,INDEX(Curves!$D$5:$M$5,1,MIN(10,MAX(1,G11))),0)*Assumptions!$H$125*Sensitivity!$C$7</f>
        <v/>
      </c>
      <c r="H12" s="29">
        <f>IF(H11&gt;=1,INDEX(Curves!$D$5:$M$5,1,MIN(10,MAX(1,H11))),0)*Assumptions!$H$125*Sensitivity!$C$7</f>
        <v/>
      </c>
      <c r="I12" s="29">
        <f>IF(I11&gt;=1,INDEX(Curves!$D$5:$M$5,1,MIN(10,MAX(1,I11))),0)*Assumptions!$H$125*Sensitivity!$C$7</f>
        <v/>
      </c>
      <c r="J12" s="29">
        <f>IF(J11&gt;=1,INDEX(Curves!$D$5:$M$5,1,MIN(10,MAX(1,J11))),0)*Assumptions!$H$125*Sensitivity!$C$7</f>
        <v/>
      </c>
      <c r="K12" s="29">
        <f>IF(K11&gt;=1,INDEX(Curves!$D$5:$M$5,1,MIN(10,MAX(1,K11))),0)*Assumptions!$H$125*Sensitivity!$C$7</f>
        <v/>
      </c>
      <c r="L12" s="29">
        <f>IF(L11&gt;=1,INDEX(Curves!$D$5:$M$5,1,MIN(10,MAX(1,L11))),0)*Assumptions!$H$125*Sensitivity!$C$7</f>
        <v/>
      </c>
      <c r="M12" s="29">
        <f>IF(M11&gt;=1,INDEX(Curves!$D$5:$M$5,1,MIN(10,MAX(1,M11))),0)*Assumptions!$H$125*Sensitivity!$C$7</f>
        <v/>
      </c>
    </row>
    <row r="13">
      <c r="A13" s="2" t="inlineStr">
        <is>
          <t>AVO_PROD</t>
        </is>
      </c>
      <c r="B13" s="6" t="inlineStr">
        <is>
          <t>Marketable production</t>
        </is>
      </c>
      <c r="C13" s="2" t="inlineStr">
        <is>
          <t>kg</t>
        </is>
      </c>
      <c r="D13" s="25">
        <f>Trees!$C$8*D12*Assumptions!$H$126</f>
        <v/>
      </c>
      <c r="E13" s="25">
        <f>Trees!$C$8*E12*Assumptions!$H$126</f>
        <v/>
      </c>
      <c r="F13" s="25">
        <f>Trees!$C$8*F12*Assumptions!$H$126</f>
        <v/>
      </c>
      <c r="G13" s="25">
        <f>Trees!$C$8*G12*Assumptions!$H$126</f>
        <v/>
      </c>
      <c r="H13" s="25">
        <f>Trees!$C$8*H12*Assumptions!$H$126</f>
        <v/>
      </c>
      <c r="I13" s="25">
        <f>Trees!$C$8*I12*Assumptions!$H$126</f>
        <v/>
      </c>
      <c r="J13" s="25">
        <f>Trees!$C$8*J12*Assumptions!$H$126</f>
        <v/>
      </c>
      <c r="K13" s="25">
        <f>Trees!$C$8*K12*Assumptions!$H$126</f>
        <v/>
      </c>
      <c r="L13" s="25">
        <f>Trees!$C$8*L12*Assumptions!$H$126</f>
        <v/>
      </c>
      <c r="M13" s="25">
        <f>Trees!$C$8*M12*Assumptions!$H$126</f>
        <v/>
      </c>
    </row>
    <row r="14">
      <c r="A14" s="2" t="inlineStr">
        <is>
          <t>AVO_REV</t>
        </is>
      </c>
      <c r="B14" s="6" t="inlineStr">
        <is>
          <t>Sales</t>
        </is>
      </c>
      <c r="C14" s="2" t="inlineStr">
        <is>
          <t>RWF</t>
        </is>
      </c>
      <c r="D14" s="25">
        <f>D13*Assumptions!$H$127*Sensitivity!$C$5</f>
        <v/>
      </c>
      <c r="E14" s="25">
        <f>E13*Assumptions!$H$127*Sensitivity!$C$5</f>
        <v/>
      </c>
      <c r="F14" s="25">
        <f>F13*Assumptions!$H$127*Sensitivity!$C$5</f>
        <v/>
      </c>
      <c r="G14" s="25">
        <f>G13*Assumptions!$H$127*Sensitivity!$C$5</f>
        <v/>
      </c>
      <c r="H14" s="25">
        <f>H13*Assumptions!$H$127*Sensitivity!$C$5</f>
        <v/>
      </c>
      <c r="I14" s="25">
        <f>I13*Assumptions!$H$127*Sensitivity!$C$5</f>
        <v/>
      </c>
      <c r="J14" s="25">
        <f>J13*Assumptions!$H$127*Sensitivity!$C$5</f>
        <v/>
      </c>
      <c r="K14" s="25">
        <f>K13*Assumptions!$H$127*Sensitivity!$C$5</f>
        <v/>
      </c>
      <c r="L14" s="25">
        <f>L13*Assumptions!$H$127*Sensitivity!$C$5</f>
        <v/>
      </c>
      <c r="M14" s="25">
        <f>M13*Assumptions!$H$127*Sensitivity!$C$5</f>
        <v/>
      </c>
    </row>
    <row r="15">
      <c r="A15" s="2" t="inlineStr">
        <is>
          <t>AVO_REPL</t>
        </is>
      </c>
      <c r="B15" s="6" t="inlineStr">
        <is>
          <t>Replanting (short-cycle crops)</t>
        </is>
      </c>
      <c r="C15" s="2" t="inlineStr">
        <is>
          <t>RWF</t>
        </is>
      </c>
      <c r="D15" s="25">
        <f>IF(AND(Assumptions!$H$128&gt;0,D$3&gt;1,MOD(D$3-1,MAX(1,Assumptions!$H$128))=0),Trees!$C$7*(Assumptions!$H$123+Assumptions!$H$124)*Sensitivity!$C$11,0)</f>
        <v/>
      </c>
      <c r="E15" s="25">
        <f>IF(AND(Assumptions!$H$128&gt;0,E$3&gt;1,MOD(E$3-1,MAX(1,Assumptions!$H$128))=0),Trees!$C$7*(Assumptions!$H$123+Assumptions!$H$124)*Sensitivity!$C$11,0)</f>
        <v/>
      </c>
      <c r="F15" s="25">
        <f>IF(AND(Assumptions!$H$128&gt;0,F$3&gt;1,MOD(F$3-1,MAX(1,Assumptions!$H$128))=0),Trees!$C$7*(Assumptions!$H$123+Assumptions!$H$124)*Sensitivity!$C$11,0)</f>
        <v/>
      </c>
      <c r="G15" s="25">
        <f>IF(AND(Assumptions!$H$128&gt;0,G$3&gt;1,MOD(G$3-1,MAX(1,Assumptions!$H$128))=0),Trees!$C$7*(Assumptions!$H$123+Assumptions!$H$124)*Sensitivity!$C$11,0)</f>
        <v/>
      </c>
      <c r="H15" s="25">
        <f>IF(AND(Assumptions!$H$128&gt;0,H$3&gt;1,MOD(H$3-1,MAX(1,Assumptions!$H$128))=0),Trees!$C$7*(Assumptions!$H$123+Assumptions!$H$124)*Sensitivity!$C$11,0)</f>
        <v/>
      </c>
      <c r="I15" s="25">
        <f>IF(AND(Assumptions!$H$128&gt;0,I$3&gt;1,MOD(I$3-1,MAX(1,Assumptions!$H$128))=0),Trees!$C$7*(Assumptions!$H$123+Assumptions!$H$124)*Sensitivity!$C$11,0)</f>
        <v/>
      </c>
      <c r="J15" s="25">
        <f>IF(AND(Assumptions!$H$128&gt;0,J$3&gt;1,MOD(J$3-1,MAX(1,Assumptions!$H$128))=0),Trees!$C$7*(Assumptions!$H$123+Assumptions!$H$124)*Sensitivity!$C$11,0)</f>
        <v/>
      </c>
      <c r="K15" s="25">
        <f>IF(AND(Assumptions!$H$128&gt;0,K$3&gt;1,MOD(K$3-1,MAX(1,Assumptions!$H$128))=0),Trees!$C$7*(Assumptions!$H$123+Assumptions!$H$124)*Sensitivity!$C$11,0)</f>
        <v/>
      </c>
      <c r="L15" s="25">
        <f>IF(AND(Assumptions!$H$128&gt;0,L$3&gt;1,MOD(L$3-1,MAX(1,Assumptions!$H$128))=0),Trees!$C$7*(Assumptions!$H$123+Assumptions!$H$124)*Sensitivity!$C$11,0)</f>
        <v/>
      </c>
      <c r="M15" s="25">
        <f>IF(AND(Assumptions!$H$128&gt;0,M$3&gt;1,MOD(M$3-1,MAX(1,Assumptions!$H$128))=0),Trees!$C$7*(Assumptions!$H$123+Assumptions!$H$124)*Sensitivity!$C$11,0)</f>
        <v/>
      </c>
    </row>
    <row r="17">
      <c r="A17" s="11" t="n"/>
      <c r="B17" s="12" t="inlineStr">
        <is>
          <t>Mango (grafted)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2" t="inlineStr">
        <is>
          <t>MAN_AREA</t>
        </is>
      </c>
      <c r="B18" s="6" t="inlineStr">
        <is>
          <t>Area</t>
        </is>
      </c>
      <c r="C18" s="24">
        <f>Land!$C$17</f>
        <v/>
      </c>
    </row>
    <row r="19">
      <c r="A19" s="2" t="inlineStr">
        <is>
          <t>MAN_PLANTS</t>
        </is>
      </c>
      <c r="B19" s="6" t="inlineStr">
        <is>
          <t>Plants planted</t>
        </is>
      </c>
      <c r="C19" s="25">
        <f>ROUND(C18*Assumptions!$H$130,0)</f>
        <v/>
      </c>
    </row>
    <row r="20">
      <c r="A20" s="2" t="inlineStr">
        <is>
          <t>MAN_STAND</t>
        </is>
      </c>
      <c r="B20" s="6" t="inlineStr">
        <is>
          <t>Final stand</t>
        </is>
      </c>
      <c r="C20" s="25">
        <f>C19*Assumptions!$H$131</f>
        <v/>
      </c>
    </row>
    <row r="21">
      <c r="A21" s="2" t="inlineStr">
        <is>
          <t>MAN_EST</t>
        </is>
      </c>
      <c r="B21" s="6" t="inlineStr">
        <is>
          <t>Establishment cost</t>
        </is>
      </c>
      <c r="C21" s="25">
        <f>C19*(Assumptions!$H$132+Assumptions!$H$133)*Sensitivity!$C$11</f>
        <v/>
      </c>
    </row>
    <row r="22">
      <c r="A22" s="2" t="inlineStr">
        <is>
          <t>MAN_GAP</t>
        </is>
      </c>
      <c r="B22" s="6" t="inlineStr">
        <is>
          <t>Gap-filling cost (year 2)</t>
        </is>
      </c>
      <c r="C22" s="25">
        <f>C19*(1-Assumptions!$H$131)*Assumptions!$H$132*Sensitivity!$C$11</f>
        <v/>
      </c>
    </row>
    <row r="23">
      <c r="A23" s="2" t="inlineStr">
        <is>
          <t>MAN_AGE</t>
        </is>
      </c>
      <c r="B23" s="6" t="inlineStr">
        <is>
          <t>Age in production cycle</t>
        </is>
      </c>
      <c r="C23" s="2" t="inlineStr">
        <is>
          <t>years</t>
        </is>
      </c>
      <c r="D23" s="28">
        <f>IF(Assumptions!$H$137=0,D$3-Sensitivity!$C$13,MOD(D$3-1,MAX(1,Assumptions!$H$137))+1)</f>
        <v/>
      </c>
      <c r="E23" s="28">
        <f>IF(Assumptions!$H$137=0,E$3-Sensitivity!$C$13,MOD(E$3-1,MAX(1,Assumptions!$H$137))+1)</f>
        <v/>
      </c>
      <c r="F23" s="28">
        <f>IF(Assumptions!$H$137=0,F$3-Sensitivity!$C$13,MOD(F$3-1,MAX(1,Assumptions!$H$137))+1)</f>
        <v/>
      </c>
      <c r="G23" s="28">
        <f>IF(Assumptions!$H$137=0,G$3-Sensitivity!$C$13,MOD(G$3-1,MAX(1,Assumptions!$H$137))+1)</f>
        <v/>
      </c>
      <c r="H23" s="28">
        <f>IF(Assumptions!$H$137=0,H$3-Sensitivity!$C$13,MOD(H$3-1,MAX(1,Assumptions!$H$137))+1)</f>
        <v/>
      </c>
      <c r="I23" s="28">
        <f>IF(Assumptions!$H$137=0,I$3-Sensitivity!$C$13,MOD(I$3-1,MAX(1,Assumptions!$H$137))+1)</f>
        <v/>
      </c>
      <c r="J23" s="28">
        <f>IF(Assumptions!$H$137=0,J$3-Sensitivity!$C$13,MOD(J$3-1,MAX(1,Assumptions!$H$137))+1)</f>
        <v/>
      </c>
      <c r="K23" s="28">
        <f>IF(Assumptions!$H$137=0,K$3-Sensitivity!$C$13,MOD(K$3-1,MAX(1,Assumptions!$H$137))+1)</f>
        <v/>
      </c>
      <c r="L23" s="28">
        <f>IF(Assumptions!$H$137=0,L$3-Sensitivity!$C$13,MOD(L$3-1,MAX(1,Assumptions!$H$137))+1)</f>
        <v/>
      </c>
      <c r="M23" s="28">
        <f>IF(Assumptions!$H$137=0,M$3-Sensitivity!$C$13,MOD(M$3-1,MAX(1,Assumptions!$H$137))+1)</f>
        <v/>
      </c>
    </row>
    <row r="24">
      <c r="A24" s="2" t="inlineStr">
        <is>
          <t>MAN_YLD</t>
        </is>
      </c>
      <c r="B24" s="6" t="inlineStr">
        <is>
          <t>Yield per plant</t>
        </is>
      </c>
      <c r="C24" s="2" t="inlineStr">
        <is>
          <t>kg</t>
        </is>
      </c>
      <c r="D24" s="29">
        <f>IF(D23&gt;=1,INDEX(Curves!$D$6:$M$6,1,MIN(10,MAX(1,D23))),0)*Assumptions!$H$134*Sensitivity!$C$7</f>
        <v/>
      </c>
      <c r="E24" s="29">
        <f>IF(E23&gt;=1,INDEX(Curves!$D$6:$M$6,1,MIN(10,MAX(1,E23))),0)*Assumptions!$H$134*Sensitivity!$C$7</f>
        <v/>
      </c>
      <c r="F24" s="29">
        <f>IF(F23&gt;=1,INDEX(Curves!$D$6:$M$6,1,MIN(10,MAX(1,F23))),0)*Assumptions!$H$134*Sensitivity!$C$7</f>
        <v/>
      </c>
      <c r="G24" s="29">
        <f>IF(G23&gt;=1,INDEX(Curves!$D$6:$M$6,1,MIN(10,MAX(1,G23))),0)*Assumptions!$H$134*Sensitivity!$C$7</f>
        <v/>
      </c>
      <c r="H24" s="29">
        <f>IF(H23&gt;=1,INDEX(Curves!$D$6:$M$6,1,MIN(10,MAX(1,H23))),0)*Assumptions!$H$134*Sensitivity!$C$7</f>
        <v/>
      </c>
      <c r="I24" s="29">
        <f>IF(I23&gt;=1,INDEX(Curves!$D$6:$M$6,1,MIN(10,MAX(1,I23))),0)*Assumptions!$H$134*Sensitivity!$C$7</f>
        <v/>
      </c>
      <c r="J24" s="29">
        <f>IF(J23&gt;=1,INDEX(Curves!$D$6:$M$6,1,MIN(10,MAX(1,J23))),0)*Assumptions!$H$134*Sensitivity!$C$7</f>
        <v/>
      </c>
      <c r="K24" s="29">
        <f>IF(K23&gt;=1,INDEX(Curves!$D$6:$M$6,1,MIN(10,MAX(1,K23))),0)*Assumptions!$H$134*Sensitivity!$C$7</f>
        <v/>
      </c>
      <c r="L24" s="29">
        <f>IF(L23&gt;=1,INDEX(Curves!$D$6:$M$6,1,MIN(10,MAX(1,L23))),0)*Assumptions!$H$134*Sensitivity!$C$7</f>
        <v/>
      </c>
      <c r="M24" s="29">
        <f>IF(M23&gt;=1,INDEX(Curves!$D$6:$M$6,1,MIN(10,MAX(1,M23))),0)*Assumptions!$H$134*Sensitivity!$C$7</f>
        <v/>
      </c>
    </row>
    <row r="25">
      <c r="A25" s="2" t="inlineStr">
        <is>
          <t>MAN_PROD</t>
        </is>
      </c>
      <c r="B25" s="6" t="inlineStr">
        <is>
          <t>Marketable production</t>
        </is>
      </c>
      <c r="C25" s="2" t="inlineStr">
        <is>
          <t>kg</t>
        </is>
      </c>
      <c r="D25" s="25">
        <f>Trees!$C$20*D24*Assumptions!$H$135</f>
        <v/>
      </c>
      <c r="E25" s="25">
        <f>Trees!$C$20*E24*Assumptions!$H$135</f>
        <v/>
      </c>
      <c r="F25" s="25">
        <f>Trees!$C$20*F24*Assumptions!$H$135</f>
        <v/>
      </c>
      <c r="G25" s="25">
        <f>Trees!$C$20*G24*Assumptions!$H$135</f>
        <v/>
      </c>
      <c r="H25" s="25">
        <f>Trees!$C$20*H24*Assumptions!$H$135</f>
        <v/>
      </c>
      <c r="I25" s="25">
        <f>Trees!$C$20*I24*Assumptions!$H$135</f>
        <v/>
      </c>
      <c r="J25" s="25">
        <f>Trees!$C$20*J24*Assumptions!$H$135</f>
        <v/>
      </c>
      <c r="K25" s="25">
        <f>Trees!$C$20*K24*Assumptions!$H$135</f>
        <v/>
      </c>
      <c r="L25" s="25">
        <f>Trees!$C$20*L24*Assumptions!$H$135</f>
        <v/>
      </c>
      <c r="M25" s="25">
        <f>Trees!$C$20*M24*Assumptions!$H$135</f>
        <v/>
      </c>
    </row>
    <row r="26">
      <c r="A26" s="2" t="inlineStr">
        <is>
          <t>MAN_REV</t>
        </is>
      </c>
      <c r="B26" s="6" t="inlineStr">
        <is>
          <t>Sales</t>
        </is>
      </c>
      <c r="C26" s="2" t="inlineStr">
        <is>
          <t>RWF</t>
        </is>
      </c>
      <c r="D26" s="25">
        <f>D25*Assumptions!$H$136*Sensitivity!$C$5</f>
        <v/>
      </c>
      <c r="E26" s="25">
        <f>E25*Assumptions!$H$136*Sensitivity!$C$5</f>
        <v/>
      </c>
      <c r="F26" s="25">
        <f>F25*Assumptions!$H$136*Sensitivity!$C$5</f>
        <v/>
      </c>
      <c r="G26" s="25">
        <f>G25*Assumptions!$H$136*Sensitivity!$C$5</f>
        <v/>
      </c>
      <c r="H26" s="25">
        <f>H25*Assumptions!$H$136*Sensitivity!$C$5</f>
        <v/>
      </c>
      <c r="I26" s="25">
        <f>I25*Assumptions!$H$136*Sensitivity!$C$5</f>
        <v/>
      </c>
      <c r="J26" s="25">
        <f>J25*Assumptions!$H$136*Sensitivity!$C$5</f>
        <v/>
      </c>
      <c r="K26" s="25">
        <f>K25*Assumptions!$H$136*Sensitivity!$C$5</f>
        <v/>
      </c>
      <c r="L26" s="25">
        <f>L25*Assumptions!$H$136*Sensitivity!$C$5</f>
        <v/>
      </c>
      <c r="M26" s="25">
        <f>M25*Assumptions!$H$136*Sensitivity!$C$5</f>
        <v/>
      </c>
    </row>
    <row r="27">
      <c r="A27" s="2" t="inlineStr">
        <is>
          <t>MAN_REPL</t>
        </is>
      </c>
      <c r="B27" s="6" t="inlineStr">
        <is>
          <t>Replanting (short-cycle crops)</t>
        </is>
      </c>
      <c r="C27" s="2" t="inlineStr">
        <is>
          <t>RWF</t>
        </is>
      </c>
      <c r="D27" s="25">
        <f>IF(AND(Assumptions!$H$137&gt;0,D$3&gt;1,MOD(D$3-1,MAX(1,Assumptions!$H$137))=0),Trees!$C$19*(Assumptions!$H$132+Assumptions!$H$133)*Sensitivity!$C$11,0)</f>
        <v/>
      </c>
      <c r="E27" s="25">
        <f>IF(AND(Assumptions!$H$137&gt;0,E$3&gt;1,MOD(E$3-1,MAX(1,Assumptions!$H$137))=0),Trees!$C$19*(Assumptions!$H$132+Assumptions!$H$133)*Sensitivity!$C$11,0)</f>
        <v/>
      </c>
      <c r="F27" s="25">
        <f>IF(AND(Assumptions!$H$137&gt;0,F$3&gt;1,MOD(F$3-1,MAX(1,Assumptions!$H$137))=0),Trees!$C$19*(Assumptions!$H$132+Assumptions!$H$133)*Sensitivity!$C$11,0)</f>
        <v/>
      </c>
      <c r="G27" s="25">
        <f>IF(AND(Assumptions!$H$137&gt;0,G$3&gt;1,MOD(G$3-1,MAX(1,Assumptions!$H$137))=0),Trees!$C$19*(Assumptions!$H$132+Assumptions!$H$133)*Sensitivity!$C$11,0)</f>
        <v/>
      </c>
      <c r="H27" s="25">
        <f>IF(AND(Assumptions!$H$137&gt;0,H$3&gt;1,MOD(H$3-1,MAX(1,Assumptions!$H$137))=0),Trees!$C$19*(Assumptions!$H$132+Assumptions!$H$133)*Sensitivity!$C$11,0)</f>
        <v/>
      </c>
      <c r="I27" s="25">
        <f>IF(AND(Assumptions!$H$137&gt;0,I$3&gt;1,MOD(I$3-1,MAX(1,Assumptions!$H$137))=0),Trees!$C$19*(Assumptions!$H$132+Assumptions!$H$133)*Sensitivity!$C$11,0)</f>
        <v/>
      </c>
      <c r="J27" s="25">
        <f>IF(AND(Assumptions!$H$137&gt;0,J$3&gt;1,MOD(J$3-1,MAX(1,Assumptions!$H$137))=0),Trees!$C$19*(Assumptions!$H$132+Assumptions!$H$133)*Sensitivity!$C$11,0)</f>
        <v/>
      </c>
      <c r="K27" s="25">
        <f>IF(AND(Assumptions!$H$137&gt;0,K$3&gt;1,MOD(K$3-1,MAX(1,Assumptions!$H$137))=0),Trees!$C$19*(Assumptions!$H$132+Assumptions!$H$133)*Sensitivity!$C$11,0)</f>
        <v/>
      </c>
      <c r="L27" s="25">
        <f>IF(AND(Assumptions!$H$137&gt;0,L$3&gt;1,MOD(L$3-1,MAX(1,Assumptions!$H$137))=0),Trees!$C$19*(Assumptions!$H$132+Assumptions!$H$133)*Sensitivity!$C$11,0)</f>
        <v/>
      </c>
      <c r="M27" s="25">
        <f>IF(AND(Assumptions!$H$137&gt;0,M$3&gt;1,MOD(M$3-1,MAX(1,Assumptions!$H$137))=0),Trees!$C$19*(Assumptions!$H$132+Assumptions!$H$133)*Sensitivity!$C$11,0)</f>
        <v/>
      </c>
    </row>
    <row r="29">
      <c r="A29" s="11" t="n"/>
      <c r="B29" s="12" t="inlineStr">
        <is>
          <t>Passion fruit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>
      <c r="A30" s="2" t="inlineStr">
        <is>
          <t>PAS_AREA</t>
        </is>
      </c>
      <c r="B30" s="6" t="inlineStr">
        <is>
          <t>Area</t>
        </is>
      </c>
      <c r="C30" s="24">
        <f>Land!$C$18</f>
        <v/>
      </c>
    </row>
    <row r="31">
      <c r="A31" s="2" t="inlineStr">
        <is>
          <t>PAS_PLANTS</t>
        </is>
      </c>
      <c r="B31" s="6" t="inlineStr">
        <is>
          <t>Plants planted</t>
        </is>
      </c>
      <c r="C31" s="25">
        <f>ROUND(C30*Assumptions!$H$139,0)</f>
        <v/>
      </c>
    </row>
    <row r="32">
      <c r="A32" s="2" t="inlineStr">
        <is>
          <t>PAS_STAND</t>
        </is>
      </c>
      <c r="B32" s="6" t="inlineStr">
        <is>
          <t>Final stand</t>
        </is>
      </c>
      <c r="C32" s="25">
        <f>C31*Assumptions!$H$140</f>
        <v/>
      </c>
    </row>
    <row r="33">
      <c r="A33" s="2" t="inlineStr">
        <is>
          <t>PAS_EST</t>
        </is>
      </c>
      <c r="B33" s="6" t="inlineStr">
        <is>
          <t>Establishment cost</t>
        </is>
      </c>
      <c r="C33" s="25">
        <f>C31*(Assumptions!$H$141+Assumptions!$H$142)*Sensitivity!$C$11</f>
        <v/>
      </c>
    </row>
    <row r="34">
      <c r="A34" s="2" t="inlineStr">
        <is>
          <t>PAS_GAP</t>
        </is>
      </c>
      <c r="B34" s="6" t="inlineStr">
        <is>
          <t>Gap-filling cost (year 2)</t>
        </is>
      </c>
      <c r="C34" s="25">
        <f>C31*(1-Assumptions!$H$140)*Assumptions!$H$141*Sensitivity!$C$11</f>
        <v/>
      </c>
    </row>
    <row r="35">
      <c r="A35" s="2" t="inlineStr">
        <is>
          <t>PAS_AGE</t>
        </is>
      </c>
      <c r="B35" s="6" t="inlineStr">
        <is>
          <t>Age in production cycle</t>
        </is>
      </c>
      <c r="C35" s="2" t="inlineStr">
        <is>
          <t>years</t>
        </is>
      </c>
      <c r="D35" s="28">
        <f>IF(Assumptions!$H$146=0,D$3-Sensitivity!$C$13,MOD(D$3-1,MAX(1,Assumptions!$H$146))+1)</f>
        <v/>
      </c>
      <c r="E35" s="28">
        <f>IF(Assumptions!$H$146=0,E$3-Sensitivity!$C$13,MOD(E$3-1,MAX(1,Assumptions!$H$146))+1)</f>
        <v/>
      </c>
      <c r="F35" s="28">
        <f>IF(Assumptions!$H$146=0,F$3-Sensitivity!$C$13,MOD(F$3-1,MAX(1,Assumptions!$H$146))+1)</f>
        <v/>
      </c>
      <c r="G35" s="28">
        <f>IF(Assumptions!$H$146=0,G$3-Sensitivity!$C$13,MOD(G$3-1,MAX(1,Assumptions!$H$146))+1)</f>
        <v/>
      </c>
      <c r="H35" s="28">
        <f>IF(Assumptions!$H$146=0,H$3-Sensitivity!$C$13,MOD(H$3-1,MAX(1,Assumptions!$H$146))+1)</f>
        <v/>
      </c>
      <c r="I35" s="28">
        <f>IF(Assumptions!$H$146=0,I$3-Sensitivity!$C$13,MOD(I$3-1,MAX(1,Assumptions!$H$146))+1)</f>
        <v/>
      </c>
      <c r="J35" s="28">
        <f>IF(Assumptions!$H$146=0,J$3-Sensitivity!$C$13,MOD(J$3-1,MAX(1,Assumptions!$H$146))+1)</f>
        <v/>
      </c>
      <c r="K35" s="28">
        <f>IF(Assumptions!$H$146=0,K$3-Sensitivity!$C$13,MOD(K$3-1,MAX(1,Assumptions!$H$146))+1)</f>
        <v/>
      </c>
      <c r="L35" s="28">
        <f>IF(Assumptions!$H$146=0,L$3-Sensitivity!$C$13,MOD(L$3-1,MAX(1,Assumptions!$H$146))+1)</f>
        <v/>
      </c>
      <c r="M35" s="28">
        <f>IF(Assumptions!$H$146=0,M$3-Sensitivity!$C$13,MOD(M$3-1,MAX(1,Assumptions!$H$146))+1)</f>
        <v/>
      </c>
    </row>
    <row r="36">
      <c r="A36" s="2" t="inlineStr">
        <is>
          <t>PAS_YLD</t>
        </is>
      </c>
      <c r="B36" s="6" t="inlineStr">
        <is>
          <t>Yield per plant</t>
        </is>
      </c>
      <c r="C36" s="2" t="inlineStr">
        <is>
          <t>kg</t>
        </is>
      </c>
      <c r="D36" s="29">
        <f>IF(D35&gt;=1,INDEX(Curves!$D$7:$M$7,1,MIN(10,MAX(1,D35))),0)*Assumptions!$H$143*Sensitivity!$C$7</f>
        <v/>
      </c>
      <c r="E36" s="29">
        <f>IF(E35&gt;=1,INDEX(Curves!$D$7:$M$7,1,MIN(10,MAX(1,E35))),0)*Assumptions!$H$143*Sensitivity!$C$7</f>
        <v/>
      </c>
      <c r="F36" s="29">
        <f>IF(F35&gt;=1,INDEX(Curves!$D$7:$M$7,1,MIN(10,MAX(1,F35))),0)*Assumptions!$H$143*Sensitivity!$C$7</f>
        <v/>
      </c>
      <c r="G36" s="29">
        <f>IF(G35&gt;=1,INDEX(Curves!$D$7:$M$7,1,MIN(10,MAX(1,G35))),0)*Assumptions!$H$143*Sensitivity!$C$7</f>
        <v/>
      </c>
      <c r="H36" s="29">
        <f>IF(H35&gt;=1,INDEX(Curves!$D$7:$M$7,1,MIN(10,MAX(1,H35))),0)*Assumptions!$H$143*Sensitivity!$C$7</f>
        <v/>
      </c>
      <c r="I36" s="29">
        <f>IF(I35&gt;=1,INDEX(Curves!$D$7:$M$7,1,MIN(10,MAX(1,I35))),0)*Assumptions!$H$143*Sensitivity!$C$7</f>
        <v/>
      </c>
      <c r="J36" s="29">
        <f>IF(J35&gt;=1,INDEX(Curves!$D$7:$M$7,1,MIN(10,MAX(1,J35))),0)*Assumptions!$H$143*Sensitivity!$C$7</f>
        <v/>
      </c>
      <c r="K36" s="29">
        <f>IF(K35&gt;=1,INDEX(Curves!$D$7:$M$7,1,MIN(10,MAX(1,K35))),0)*Assumptions!$H$143*Sensitivity!$C$7</f>
        <v/>
      </c>
      <c r="L36" s="29">
        <f>IF(L35&gt;=1,INDEX(Curves!$D$7:$M$7,1,MIN(10,MAX(1,L35))),0)*Assumptions!$H$143*Sensitivity!$C$7</f>
        <v/>
      </c>
      <c r="M36" s="29">
        <f>IF(M35&gt;=1,INDEX(Curves!$D$7:$M$7,1,MIN(10,MAX(1,M35))),0)*Assumptions!$H$143*Sensitivity!$C$7</f>
        <v/>
      </c>
    </row>
    <row r="37">
      <c r="A37" s="2" t="inlineStr">
        <is>
          <t>PAS_PROD</t>
        </is>
      </c>
      <c r="B37" s="6" t="inlineStr">
        <is>
          <t>Marketable production</t>
        </is>
      </c>
      <c r="C37" s="2" t="inlineStr">
        <is>
          <t>kg</t>
        </is>
      </c>
      <c r="D37" s="25">
        <f>Trees!$C$32*D36*Assumptions!$H$144</f>
        <v/>
      </c>
      <c r="E37" s="25">
        <f>Trees!$C$32*E36*Assumptions!$H$144</f>
        <v/>
      </c>
      <c r="F37" s="25">
        <f>Trees!$C$32*F36*Assumptions!$H$144</f>
        <v/>
      </c>
      <c r="G37" s="25">
        <f>Trees!$C$32*G36*Assumptions!$H$144</f>
        <v/>
      </c>
      <c r="H37" s="25">
        <f>Trees!$C$32*H36*Assumptions!$H$144</f>
        <v/>
      </c>
      <c r="I37" s="25">
        <f>Trees!$C$32*I36*Assumptions!$H$144</f>
        <v/>
      </c>
      <c r="J37" s="25">
        <f>Trees!$C$32*J36*Assumptions!$H$144</f>
        <v/>
      </c>
      <c r="K37" s="25">
        <f>Trees!$C$32*K36*Assumptions!$H$144</f>
        <v/>
      </c>
      <c r="L37" s="25">
        <f>Trees!$C$32*L36*Assumptions!$H$144</f>
        <v/>
      </c>
      <c r="M37" s="25">
        <f>Trees!$C$32*M36*Assumptions!$H$144</f>
        <v/>
      </c>
    </row>
    <row r="38">
      <c r="A38" s="2" t="inlineStr">
        <is>
          <t>PAS_REV</t>
        </is>
      </c>
      <c r="B38" s="6" t="inlineStr">
        <is>
          <t>Sales</t>
        </is>
      </c>
      <c r="C38" s="2" t="inlineStr">
        <is>
          <t>RWF</t>
        </is>
      </c>
      <c r="D38" s="25">
        <f>D37*Assumptions!$H$145*Sensitivity!$C$5</f>
        <v/>
      </c>
      <c r="E38" s="25">
        <f>E37*Assumptions!$H$145*Sensitivity!$C$5</f>
        <v/>
      </c>
      <c r="F38" s="25">
        <f>F37*Assumptions!$H$145*Sensitivity!$C$5</f>
        <v/>
      </c>
      <c r="G38" s="25">
        <f>G37*Assumptions!$H$145*Sensitivity!$C$5</f>
        <v/>
      </c>
      <c r="H38" s="25">
        <f>H37*Assumptions!$H$145*Sensitivity!$C$5</f>
        <v/>
      </c>
      <c r="I38" s="25">
        <f>I37*Assumptions!$H$145*Sensitivity!$C$5</f>
        <v/>
      </c>
      <c r="J38" s="25">
        <f>J37*Assumptions!$H$145*Sensitivity!$C$5</f>
        <v/>
      </c>
      <c r="K38" s="25">
        <f>K37*Assumptions!$H$145*Sensitivity!$C$5</f>
        <v/>
      </c>
      <c r="L38" s="25">
        <f>L37*Assumptions!$H$145*Sensitivity!$C$5</f>
        <v/>
      </c>
      <c r="M38" s="25">
        <f>M37*Assumptions!$H$145*Sensitivity!$C$5</f>
        <v/>
      </c>
    </row>
    <row r="39">
      <c r="A39" s="2" t="inlineStr">
        <is>
          <t>PAS_REPL</t>
        </is>
      </c>
      <c r="B39" s="6" t="inlineStr">
        <is>
          <t>Replanting (short-cycle crops)</t>
        </is>
      </c>
      <c r="C39" s="2" t="inlineStr">
        <is>
          <t>RWF</t>
        </is>
      </c>
      <c r="D39" s="25">
        <f>IF(AND(Assumptions!$H$146&gt;0,D$3&gt;1,MOD(D$3-1,MAX(1,Assumptions!$H$146))=0),Trees!$C$31*(Assumptions!$H$141+Assumptions!$H$142)*Sensitivity!$C$11,0)</f>
        <v/>
      </c>
      <c r="E39" s="25">
        <f>IF(AND(Assumptions!$H$146&gt;0,E$3&gt;1,MOD(E$3-1,MAX(1,Assumptions!$H$146))=0),Trees!$C$31*(Assumptions!$H$141+Assumptions!$H$142)*Sensitivity!$C$11,0)</f>
        <v/>
      </c>
      <c r="F39" s="25">
        <f>IF(AND(Assumptions!$H$146&gt;0,F$3&gt;1,MOD(F$3-1,MAX(1,Assumptions!$H$146))=0),Trees!$C$31*(Assumptions!$H$141+Assumptions!$H$142)*Sensitivity!$C$11,0)</f>
        <v/>
      </c>
      <c r="G39" s="25">
        <f>IF(AND(Assumptions!$H$146&gt;0,G$3&gt;1,MOD(G$3-1,MAX(1,Assumptions!$H$146))=0),Trees!$C$31*(Assumptions!$H$141+Assumptions!$H$142)*Sensitivity!$C$11,0)</f>
        <v/>
      </c>
      <c r="H39" s="25">
        <f>IF(AND(Assumptions!$H$146&gt;0,H$3&gt;1,MOD(H$3-1,MAX(1,Assumptions!$H$146))=0),Trees!$C$31*(Assumptions!$H$141+Assumptions!$H$142)*Sensitivity!$C$11,0)</f>
        <v/>
      </c>
      <c r="I39" s="25">
        <f>IF(AND(Assumptions!$H$146&gt;0,I$3&gt;1,MOD(I$3-1,MAX(1,Assumptions!$H$146))=0),Trees!$C$31*(Assumptions!$H$141+Assumptions!$H$142)*Sensitivity!$C$11,0)</f>
        <v/>
      </c>
      <c r="J39" s="25">
        <f>IF(AND(Assumptions!$H$146&gt;0,J$3&gt;1,MOD(J$3-1,MAX(1,Assumptions!$H$146))=0),Trees!$C$31*(Assumptions!$H$141+Assumptions!$H$142)*Sensitivity!$C$11,0)</f>
        <v/>
      </c>
      <c r="K39" s="25">
        <f>IF(AND(Assumptions!$H$146&gt;0,K$3&gt;1,MOD(K$3-1,MAX(1,Assumptions!$H$146))=0),Trees!$C$31*(Assumptions!$H$141+Assumptions!$H$142)*Sensitivity!$C$11,0)</f>
        <v/>
      </c>
      <c r="L39" s="25">
        <f>IF(AND(Assumptions!$H$146&gt;0,L$3&gt;1,MOD(L$3-1,MAX(1,Assumptions!$H$146))=0),Trees!$C$31*(Assumptions!$H$141+Assumptions!$H$142)*Sensitivity!$C$11,0)</f>
        <v/>
      </c>
      <c r="M39" s="25">
        <f>IF(AND(Assumptions!$H$146&gt;0,M$3&gt;1,MOD(M$3-1,MAX(1,Assumptions!$H$146))=0),Trees!$C$31*(Assumptions!$H$141+Assumptions!$H$142)*Sensitivity!$C$11,0)</f>
        <v/>
      </c>
    </row>
    <row r="41">
      <c r="A41" s="11" t="n"/>
      <c r="B41" s="12" t="inlineStr">
        <is>
          <t>Papaya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  <row r="42">
      <c r="A42" s="2" t="inlineStr">
        <is>
          <t>PAP_AREA</t>
        </is>
      </c>
      <c r="B42" s="6" t="inlineStr">
        <is>
          <t>Area</t>
        </is>
      </c>
      <c r="C42" s="24">
        <f>Land!$C$19</f>
        <v/>
      </c>
    </row>
    <row r="43">
      <c r="A43" s="2" t="inlineStr">
        <is>
          <t>PAP_PLANTS</t>
        </is>
      </c>
      <c r="B43" s="6" t="inlineStr">
        <is>
          <t>Plants planted</t>
        </is>
      </c>
      <c r="C43" s="25">
        <f>ROUND(C42*Assumptions!$H$148,0)</f>
        <v/>
      </c>
    </row>
    <row r="44">
      <c r="A44" s="2" t="inlineStr">
        <is>
          <t>PAP_STAND</t>
        </is>
      </c>
      <c r="B44" s="6" t="inlineStr">
        <is>
          <t>Final stand</t>
        </is>
      </c>
      <c r="C44" s="25">
        <f>C43*Assumptions!$H$149</f>
        <v/>
      </c>
    </row>
    <row r="45">
      <c r="A45" s="2" t="inlineStr">
        <is>
          <t>PAP_EST</t>
        </is>
      </c>
      <c r="B45" s="6" t="inlineStr">
        <is>
          <t>Establishment cost</t>
        </is>
      </c>
      <c r="C45" s="25">
        <f>C43*(Assumptions!$H$150+Assumptions!$H$151)*Sensitivity!$C$11</f>
        <v/>
      </c>
    </row>
    <row r="46">
      <c r="A46" s="2" t="inlineStr">
        <is>
          <t>PAP_GAP</t>
        </is>
      </c>
      <c r="B46" s="6" t="inlineStr">
        <is>
          <t>Gap-filling cost (year 2)</t>
        </is>
      </c>
      <c r="C46" s="25">
        <f>C43*(1-Assumptions!$H$149)*Assumptions!$H$150*Sensitivity!$C$11</f>
        <v/>
      </c>
    </row>
    <row r="47">
      <c r="A47" s="2" t="inlineStr">
        <is>
          <t>PAP_AGE</t>
        </is>
      </c>
      <c r="B47" s="6" t="inlineStr">
        <is>
          <t>Age in production cycle</t>
        </is>
      </c>
      <c r="C47" s="2" t="inlineStr">
        <is>
          <t>years</t>
        </is>
      </c>
      <c r="D47" s="28">
        <f>IF(Assumptions!$H$155=0,D$3-Sensitivity!$C$13,MOD(D$3-1,MAX(1,Assumptions!$H$155))+1)</f>
        <v/>
      </c>
      <c r="E47" s="28">
        <f>IF(Assumptions!$H$155=0,E$3-Sensitivity!$C$13,MOD(E$3-1,MAX(1,Assumptions!$H$155))+1)</f>
        <v/>
      </c>
      <c r="F47" s="28">
        <f>IF(Assumptions!$H$155=0,F$3-Sensitivity!$C$13,MOD(F$3-1,MAX(1,Assumptions!$H$155))+1)</f>
        <v/>
      </c>
      <c r="G47" s="28">
        <f>IF(Assumptions!$H$155=0,G$3-Sensitivity!$C$13,MOD(G$3-1,MAX(1,Assumptions!$H$155))+1)</f>
        <v/>
      </c>
      <c r="H47" s="28">
        <f>IF(Assumptions!$H$155=0,H$3-Sensitivity!$C$13,MOD(H$3-1,MAX(1,Assumptions!$H$155))+1)</f>
        <v/>
      </c>
      <c r="I47" s="28">
        <f>IF(Assumptions!$H$155=0,I$3-Sensitivity!$C$13,MOD(I$3-1,MAX(1,Assumptions!$H$155))+1)</f>
        <v/>
      </c>
      <c r="J47" s="28">
        <f>IF(Assumptions!$H$155=0,J$3-Sensitivity!$C$13,MOD(J$3-1,MAX(1,Assumptions!$H$155))+1)</f>
        <v/>
      </c>
      <c r="K47" s="28">
        <f>IF(Assumptions!$H$155=0,K$3-Sensitivity!$C$13,MOD(K$3-1,MAX(1,Assumptions!$H$155))+1)</f>
        <v/>
      </c>
      <c r="L47" s="28">
        <f>IF(Assumptions!$H$155=0,L$3-Sensitivity!$C$13,MOD(L$3-1,MAX(1,Assumptions!$H$155))+1)</f>
        <v/>
      </c>
      <c r="M47" s="28">
        <f>IF(Assumptions!$H$155=0,M$3-Sensitivity!$C$13,MOD(M$3-1,MAX(1,Assumptions!$H$155))+1)</f>
        <v/>
      </c>
    </row>
    <row r="48">
      <c r="A48" s="2" t="inlineStr">
        <is>
          <t>PAP_YLD</t>
        </is>
      </c>
      <c r="B48" s="6" t="inlineStr">
        <is>
          <t>Yield per plant</t>
        </is>
      </c>
      <c r="C48" s="2" t="inlineStr">
        <is>
          <t>kg</t>
        </is>
      </c>
      <c r="D48" s="29">
        <f>IF(D47&gt;=1,INDEX(Curves!$D$8:$M$8,1,MIN(10,MAX(1,D47))),0)*Assumptions!$H$152*Sensitivity!$C$7</f>
        <v/>
      </c>
      <c r="E48" s="29">
        <f>IF(E47&gt;=1,INDEX(Curves!$D$8:$M$8,1,MIN(10,MAX(1,E47))),0)*Assumptions!$H$152*Sensitivity!$C$7</f>
        <v/>
      </c>
      <c r="F48" s="29">
        <f>IF(F47&gt;=1,INDEX(Curves!$D$8:$M$8,1,MIN(10,MAX(1,F47))),0)*Assumptions!$H$152*Sensitivity!$C$7</f>
        <v/>
      </c>
      <c r="G48" s="29">
        <f>IF(G47&gt;=1,INDEX(Curves!$D$8:$M$8,1,MIN(10,MAX(1,G47))),0)*Assumptions!$H$152*Sensitivity!$C$7</f>
        <v/>
      </c>
      <c r="H48" s="29">
        <f>IF(H47&gt;=1,INDEX(Curves!$D$8:$M$8,1,MIN(10,MAX(1,H47))),0)*Assumptions!$H$152*Sensitivity!$C$7</f>
        <v/>
      </c>
      <c r="I48" s="29">
        <f>IF(I47&gt;=1,INDEX(Curves!$D$8:$M$8,1,MIN(10,MAX(1,I47))),0)*Assumptions!$H$152*Sensitivity!$C$7</f>
        <v/>
      </c>
      <c r="J48" s="29">
        <f>IF(J47&gt;=1,INDEX(Curves!$D$8:$M$8,1,MIN(10,MAX(1,J47))),0)*Assumptions!$H$152*Sensitivity!$C$7</f>
        <v/>
      </c>
      <c r="K48" s="29">
        <f>IF(K47&gt;=1,INDEX(Curves!$D$8:$M$8,1,MIN(10,MAX(1,K47))),0)*Assumptions!$H$152*Sensitivity!$C$7</f>
        <v/>
      </c>
      <c r="L48" s="29">
        <f>IF(L47&gt;=1,INDEX(Curves!$D$8:$M$8,1,MIN(10,MAX(1,L47))),0)*Assumptions!$H$152*Sensitivity!$C$7</f>
        <v/>
      </c>
      <c r="M48" s="29">
        <f>IF(M47&gt;=1,INDEX(Curves!$D$8:$M$8,1,MIN(10,MAX(1,M47))),0)*Assumptions!$H$152*Sensitivity!$C$7</f>
        <v/>
      </c>
    </row>
    <row r="49">
      <c r="A49" s="2" t="inlineStr">
        <is>
          <t>PAP_PROD</t>
        </is>
      </c>
      <c r="B49" s="6" t="inlineStr">
        <is>
          <t>Marketable production</t>
        </is>
      </c>
      <c r="C49" s="2" t="inlineStr">
        <is>
          <t>kg</t>
        </is>
      </c>
      <c r="D49" s="25">
        <f>Trees!$C$44*D48*Assumptions!$H$153</f>
        <v/>
      </c>
      <c r="E49" s="25">
        <f>Trees!$C$44*E48*Assumptions!$H$153</f>
        <v/>
      </c>
      <c r="F49" s="25">
        <f>Trees!$C$44*F48*Assumptions!$H$153</f>
        <v/>
      </c>
      <c r="G49" s="25">
        <f>Trees!$C$44*G48*Assumptions!$H$153</f>
        <v/>
      </c>
      <c r="H49" s="25">
        <f>Trees!$C$44*H48*Assumptions!$H$153</f>
        <v/>
      </c>
      <c r="I49" s="25">
        <f>Trees!$C$44*I48*Assumptions!$H$153</f>
        <v/>
      </c>
      <c r="J49" s="25">
        <f>Trees!$C$44*J48*Assumptions!$H$153</f>
        <v/>
      </c>
      <c r="K49" s="25">
        <f>Trees!$C$44*K48*Assumptions!$H$153</f>
        <v/>
      </c>
      <c r="L49" s="25">
        <f>Trees!$C$44*L48*Assumptions!$H$153</f>
        <v/>
      </c>
      <c r="M49" s="25">
        <f>Trees!$C$44*M48*Assumptions!$H$153</f>
        <v/>
      </c>
    </row>
    <row r="50">
      <c r="A50" s="2" t="inlineStr">
        <is>
          <t>PAP_REV</t>
        </is>
      </c>
      <c r="B50" s="6" t="inlineStr">
        <is>
          <t>Sales</t>
        </is>
      </c>
      <c r="C50" s="2" t="inlineStr">
        <is>
          <t>RWF</t>
        </is>
      </c>
      <c r="D50" s="25">
        <f>D49*Assumptions!$H$154*Sensitivity!$C$5</f>
        <v/>
      </c>
      <c r="E50" s="25">
        <f>E49*Assumptions!$H$154*Sensitivity!$C$5</f>
        <v/>
      </c>
      <c r="F50" s="25">
        <f>F49*Assumptions!$H$154*Sensitivity!$C$5</f>
        <v/>
      </c>
      <c r="G50" s="25">
        <f>G49*Assumptions!$H$154*Sensitivity!$C$5</f>
        <v/>
      </c>
      <c r="H50" s="25">
        <f>H49*Assumptions!$H$154*Sensitivity!$C$5</f>
        <v/>
      </c>
      <c r="I50" s="25">
        <f>I49*Assumptions!$H$154*Sensitivity!$C$5</f>
        <v/>
      </c>
      <c r="J50" s="25">
        <f>J49*Assumptions!$H$154*Sensitivity!$C$5</f>
        <v/>
      </c>
      <c r="K50" s="25">
        <f>K49*Assumptions!$H$154*Sensitivity!$C$5</f>
        <v/>
      </c>
      <c r="L50" s="25">
        <f>L49*Assumptions!$H$154*Sensitivity!$C$5</f>
        <v/>
      </c>
      <c r="M50" s="25">
        <f>M49*Assumptions!$H$154*Sensitivity!$C$5</f>
        <v/>
      </c>
    </row>
    <row r="51">
      <c r="A51" s="2" t="inlineStr">
        <is>
          <t>PAP_REPL</t>
        </is>
      </c>
      <c r="B51" s="6" t="inlineStr">
        <is>
          <t>Replanting (short-cycle crops)</t>
        </is>
      </c>
      <c r="C51" s="2" t="inlineStr">
        <is>
          <t>RWF</t>
        </is>
      </c>
      <c r="D51" s="25">
        <f>IF(AND(Assumptions!$H$155&gt;0,D$3&gt;1,MOD(D$3-1,MAX(1,Assumptions!$H$155))=0),Trees!$C$43*(Assumptions!$H$150+Assumptions!$H$151)*Sensitivity!$C$11,0)</f>
        <v/>
      </c>
      <c r="E51" s="25">
        <f>IF(AND(Assumptions!$H$155&gt;0,E$3&gt;1,MOD(E$3-1,MAX(1,Assumptions!$H$155))=0),Trees!$C$43*(Assumptions!$H$150+Assumptions!$H$151)*Sensitivity!$C$11,0)</f>
        <v/>
      </c>
      <c r="F51" s="25">
        <f>IF(AND(Assumptions!$H$155&gt;0,F$3&gt;1,MOD(F$3-1,MAX(1,Assumptions!$H$155))=0),Trees!$C$43*(Assumptions!$H$150+Assumptions!$H$151)*Sensitivity!$C$11,0)</f>
        <v/>
      </c>
      <c r="G51" s="25">
        <f>IF(AND(Assumptions!$H$155&gt;0,G$3&gt;1,MOD(G$3-1,MAX(1,Assumptions!$H$155))=0),Trees!$C$43*(Assumptions!$H$150+Assumptions!$H$151)*Sensitivity!$C$11,0)</f>
        <v/>
      </c>
      <c r="H51" s="25">
        <f>IF(AND(Assumptions!$H$155&gt;0,H$3&gt;1,MOD(H$3-1,MAX(1,Assumptions!$H$155))=0),Trees!$C$43*(Assumptions!$H$150+Assumptions!$H$151)*Sensitivity!$C$11,0)</f>
        <v/>
      </c>
      <c r="I51" s="25">
        <f>IF(AND(Assumptions!$H$155&gt;0,I$3&gt;1,MOD(I$3-1,MAX(1,Assumptions!$H$155))=0),Trees!$C$43*(Assumptions!$H$150+Assumptions!$H$151)*Sensitivity!$C$11,0)</f>
        <v/>
      </c>
      <c r="J51" s="25">
        <f>IF(AND(Assumptions!$H$155&gt;0,J$3&gt;1,MOD(J$3-1,MAX(1,Assumptions!$H$155))=0),Trees!$C$43*(Assumptions!$H$150+Assumptions!$H$151)*Sensitivity!$C$11,0)</f>
        <v/>
      </c>
      <c r="K51" s="25">
        <f>IF(AND(Assumptions!$H$155&gt;0,K$3&gt;1,MOD(K$3-1,MAX(1,Assumptions!$H$155))=0),Trees!$C$43*(Assumptions!$H$150+Assumptions!$H$151)*Sensitivity!$C$11,0)</f>
        <v/>
      </c>
      <c r="L51" s="25">
        <f>IF(AND(Assumptions!$H$155&gt;0,L$3&gt;1,MOD(L$3-1,MAX(1,Assumptions!$H$155))=0),Trees!$C$43*(Assumptions!$H$150+Assumptions!$H$151)*Sensitivity!$C$11,0)</f>
        <v/>
      </c>
      <c r="M51" s="25">
        <f>IF(AND(Assumptions!$H$155&gt;0,M$3&gt;1,MOD(M$3-1,MAX(1,Assumptions!$H$155))=0),Trees!$C$43*(Assumptions!$H$150+Assumptions!$H$151)*Sensitivity!$C$11,0)</f>
        <v/>
      </c>
    </row>
    <row r="53">
      <c r="A53" s="11" t="n"/>
      <c r="B53" s="12" t="inlineStr">
        <is>
          <t>Tree tomato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</row>
    <row r="54">
      <c r="A54" s="2" t="inlineStr">
        <is>
          <t>TTO_AREA</t>
        </is>
      </c>
      <c r="B54" s="6" t="inlineStr">
        <is>
          <t>Area</t>
        </is>
      </c>
      <c r="C54" s="24">
        <f>Land!$C$20</f>
        <v/>
      </c>
    </row>
    <row r="55">
      <c r="A55" s="2" t="inlineStr">
        <is>
          <t>TTO_PLANTS</t>
        </is>
      </c>
      <c r="B55" s="6" t="inlineStr">
        <is>
          <t>Plants planted</t>
        </is>
      </c>
      <c r="C55" s="25">
        <f>ROUND(C54*Assumptions!$H$157,0)</f>
        <v/>
      </c>
    </row>
    <row r="56">
      <c r="A56" s="2" t="inlineStr">
        <is>
          <t>TTO_STAND</t>
        </is>
      </c>
      <c r="B56" s="6" t="inlineStr">
        <is>
          <t>Final stand</t>
        </is>
      </c>
      <c r="C56" s="25">
        <f>C55*Assumptions!$H$158</f>
        <v/>
      </c>
    </row>
    <row r="57">
      <c r="A57" s="2" t="inlineStr">
        <is>
          <t>TTO_EST</t>
        </is>
      </c>
      <c r="B57" s="6" t="inlineStr">
        <is>
          <t>Establishment cost</t>
        </is>
      </c>
      <c r="C57" s="25">
        <f>C55*(Assumptions!$H$159+Assumptions!$H$160)*Sensitivity!$C$11</f>
        <v/>
      </c>
    </row>
    <row r="58">
      <c r="A58" s="2" t="inlineStr">
        <is>
          <t>TTO_GAP</t>
        </is>
      </c>
      <c r="B58" s="6" t="inlineStr">
        <is>
          <t>Gap-filling cost (year 2)</t>
        </is>
      </c>
      <c r="C58" s="25">
        <f>C55*(1-Assumptions!$H$158)*Assumptions!$H$159*Sensitivity!$C$11</f>
        <v/>
      </c>
    </row>
    <row r="59">
      <c r="A59" s="2" t="inlineStr">
        <is>
          <t>TTO_AGE</t>
        </is>
      </c>
      <c r="B59" s="6" t="inlineStr">
        <is>
          <t>Age in production cycle</t>
        </is>
      </c>
      <c r="C59" s="2" t="inlineStr">
        <is>
          <t>years</t>
        </is>
      </c>
      <c r="D59" s="28">
        <f>IF(Assumptions!$H$164=0,D$3-Sensitivity!$C$13,MOD(D$3-1,MAX(1,Assumptions!$H$164))+1)</f>
        <v/>
      </c>
      <c r="E59" s="28">
        <f>IF(Assumptions!$H$164=0,E$3-Sensitivity!$C$13,MOD(E$3-1,MAX(1,Assumptions!$H$164))+1)</f>
        <v/>
      </c>
      <c r="F59" s="28">
        <f>IF(Assumptions!$H$164=0,F$3-Sensitivity!$C$13,MOD(F$3-1,MAX(1,Assumptions!$H$164))+1)</f>
        <v/>
      </c>
      <c r="G59" s="28">
        <f>IF(Assumptions!$H$164=0,G$3-Sensitivity!$C$13,MOD(G$3-1,MAX(1,Assumptions!$H$164))+1)</f>
        <v/>
      </c>
      <c r="H59" s="28">
        <f>IF(Assumptions!$H$164=0,H$3-Sensitivity!$C$13,MOD(H$3-1,MAX(1,Assumptions!$H$164))+1)</f>
        <v/>
      </c>
      <c r="I59" s="28">
        <f>IF(Assumptions!$H$164=0,I$3-Sensitivity!$C$13,MOD(I$3-1,MAX(1,Assumptions!$H$164))+1)</f>
        <v/>
      </c>
      <c r="J59" s="28">
        <f>IF(Assumptions!$H$164=0,J$3-Sensitivity!$C$13,MOD(J$3-1,MAX(1,Assumptions!$H$164))+1)</f>
        <v/>
      </c>
      <c r="K59" s="28">
        <f>IF(Assumptions!$H$164=0,K$3-Sensitivity!$C$13,MOD(K$3-1,MAX(1,Assumptions!$H$164))+1)</f>
        <v/>
      </c>
      <c r="L59" s="28">
        <f>IF(Assumptions!$H$164=0,L$3-Sensitivity!$C$13,MOD(L$3-1,MAX(1,Assumptions!$H$164))+1)</f>
        <v/>
      </c>
      <c r="M59" s="28">
        <f>IF(Assumptions!$H$164=0,M$3-Sensitivity!$C$13,MOD(M$3-1,MAX(1,Assumptions!$H$164))+1)</f>
        <v/>
      </c>
    </row>
    <row r="60">
      <c r="A60" s="2" t="inlineStr">
        <is>
          <t>TTO_YLD</t>
        </is>
      </c>
      <c r="B60" s="6" t="inlineStr">
        <is>
          <t>Yield per plant</t>
        </is>
      </c>
      <c r="C60" s="2" t="inlineStr">
        <is>
          <t>kg</t>
        </is>
      </c>
      <c r="D60" s="29">
        <f>IF(D59&gt;=1,INDEX(Curves!$D$9:$M$9,1,MIN(10,MAX(1,D59))),0)*Assumptions!$H$161*Sensitivity!$C$7</f>
        <v/>
      </c>
      <c r="E60" s="29">
        <f>IF(E59&gt;=1,INDEX(Curves!$D$9:$M$9,1,MIN(10,MAX(1,E59))),0)*Assumptions!$H$161*Sensitivity!$C$7</f>
        <v/>
      </c>
      <c r="F60" s="29">
        <f>IF(F59&gt;=1,INDEX(Curves!$D$9:$M$9,1,MIN(10,MAX(1,F59))),0)*Assumptions!$H$161*Sensitivity!$C$7</f>
        <v/>
      </c>
      <c r="G60" s="29">
        <f>IF(G59&gt;=1,INDEX(Curves!$D$9:$M$9,1,MIN(10,MAX(1,G59))),0)*Assumptions!$H$161*Sensitivity!$C$7</f>
        <v/>
      </c>
      <c r="H60" s="29">
        <f>IF(H59&gt;=1,INDEX(Curves!$D$9:$M$9,1,MIN(10,MAX(1,H59))),0)*Assumptions!$H$161*Sensitivity!$C$7</f>
        <v/>
      </c>
      <c r="I60" s="29">
        <f>IF(I59&gt;=1,INDEX(Curves!$D$9:$M$9,1,MIN(10,MAX(1,I59))),0)*Assumptions!$H$161*Sensitivity!$C$7</f>
        <v/>
      </c>
      <c r="J60" s="29">
        <f>IF(J59&gt;=1,INDEX(Curves!$D$9:$M$9,1,MIN(10,MAX(1,J59))),0)*Assumptions!$H$161*Sensitivity!$C$7</f>
        <v/>
      </c>
      <c r="K60" s="29">
        <f>IF(K59&gt;=1,INDEX(Curves!$D$9:$M$9,1,MIN(10,MAX(1,K59))),0)*Assumptions!$H$161*Sensitivity!$C$7</f>
        <v/>
      </c>
      <c r="L60" s="29">
        <f>IF(L59&gt;=1,INDEX(Curves!$D$9:$M$9,1,MIN(10,MAX(1,L59))),0)*Assumptions!$H$161*Sensitivity!$C$7</f>
        <v/>
      </c>
      <c r="M60" s="29">
        <f>IF(M59&gt;=1,INDEX(Curves!$D$9:$M$9,1,MIN(10,MAX(1,M59))),0)*Assumptions!$H$161*Sensitivity!$C$7</f>
        <v/>
      </c>
    </row>
    <row r="61">
      <c r="A61" s="2" t="inlineStr">
        <is>
          <t>TTO_PROD</t>
        </is>
      </c>
      <c r="B61" s="6" t="inlineStr">
        <is>
          <t>Marketable production</t>
        </is>
      </c>
      <c r="C61" s="2" t="inlineStr">
        <is>
          <t>kg</t>
        </is>
      </c>
      <c r="D61" s="25">
        <f>Trees!$C$56*D60*Assumptions!$H$162</f>
        <v/>
      </c>
      <c r="E61" s="25">
        <f>Trees!$C$56*E60*Assumptions!$H$162</f>
        <v/>
      </c>
      <c r="F61" s="25">
        <f>Trees!$C$56*F60*Assumptions!$H$162</f>
        <v/>
      </c>
      <c r="G61" s="25">
        <f>Trees!$C$56*G60*Assumptions!$H$162</f>
        <v/>
      </c>
      <c r="H61" s="25">
        <f>Trees!$C$56*H60*Assumptions!$H$162</f>
        <v/>
      </c>
      <c r="I61" s="25">
        <f>Trees!$C$56*I60*Assumptions!$H$162</f>
        <v/>
      </c>
      <c r="J61" s="25">
        <f>Trees!$C$56*J60*Assumptions!$H$162</f>
        <v/>
      </c>
      <c r="K61" s="25">
        <f>Trees!$C$56*K60*Assumptions!$H$162</f>
        <v/>
      </c>
      <c r="L61" s="25">
        <f>Trees!$C$56*L60*Assumptions!$H$162</f>
        <v/>
      </c>
      <c r="M61" s="25">
        <f>Trees!$C$56*M60*Assumptions!$H$162</f>
        <v/>
      </c>
    </row>
    <row r="62">
      <c r="A62" s="2" t="inlineStr">
        <is>
          <t>TTO_REV</t>
        </is>
      </c>
      <c r="B62" s="6" t="inlineStr">
        <is>
          <t>Sales</t>
        </is>
      </c>
      <c r="C62" s="2" t="inlineStr">
        <is>
          <t>RWF</t>
        </is>
      </c>
      <c r="D62" s="25">
        <f>D61*Assumptions!$H$163*Sensitivity!$C$5</f>
        <v/>
      </c>
      <c r="E62" s="25">
        <f>E61*Assumptions!$H$163*Sensitivity!$C$5</f>
        <v/>
      </c>
      <c r="F62" s="25">
        <f>F61*Assumptions!$H$163*Sensitivity!$C$5</f>
        <v/>
      </c>
      <c r="G62" s="25">
        <f>G61*Assumptions!$H$163*Sensitivity!$C$5</f>
        <v/>
      </c>
      <c r="H62" s="25">
        <f>H61*Assumptions!$H$163*Sensitivity!$C$5</f>
        <v/>
      </c>
      <c r="I62" s="25">
        <f>I61*Assumptions!$H$163*Sensitivity!$C$5</f>
        <v/>
      </c>
      <c r="J62" s="25">
        <f>J61*Assumptions!$H$163*Sensitivity!$C$5</f>
        <v/>
      </c>
      <c r="K62" s="25">
        <f>K61*Assumptions!$H$163*Sensitivity!$C$5</f>
        <v/>
      </c>
      <c r="L62" s="25">
        <f>L61*Assumptions!$H$163*Sensitivity!$C$5</f>
        <v/>
      </c>
      <c r="M62" s="25">
        <f>M61*Assumptions!$H$163*Sensitivity!$C$5</f>
        <v/>
      </c>
    </row>
    <row r="63">
      <c r="A63" s="2" t="inlineStr">
        <is>
          <t>TTO_REPL</t>
        </is>
      </c>
      <c r="B63" s="6" t="inlineStr">
        <is>
          <t>Replanting (short-cycle crops)</t>
        </is>
      </c>
      <c r="C63" s="2" t="inlineStr">
        <is>
          <t>RWF</t>
        </is>
      </c>
      <c r="D63" s="25">
        <f>IF(AND(Assumptions!$H$164&gt;0,D$3&gt;1,MOD(D$3-1,MAX(1,Assumptions!$H$164))=0),Trees!$C$55*(Assumptions!$H$159+Assumptions!$H$160)*Sensitivity!$C$11,0)</f>
        <v/>
      </c>
      <c r="E63" s="25">
        <f>IF(AND(Assumptions!$H$164&gt;0,E$3&gt;1,MOD(E$3-1,MAX(1,Assumptions!$H$164))=0),Trees!$C$55*(Assumptions!$H$159+Assumptions!$H$160)*Sensitivity!$C$11,0)</f>
        <v/>
      </c>
      <c r="F63" s="25">
        <f>IF(AND(Assumptions!$H$164&gt;0,F$3&gt;1,MOD(F$3-1,MAX(1,Assumptions!$H$164))=0),Trees!$C$55*(Assumptions!$H$159+Assumptions!$H$160)*Sensitivity!$C$11,0)</f>
        <v/>
      </c>
      <c r="G63" s="25">
        <f>IF(AND(Assumptions!$H$164&gt;0,G$3&gt;1,MOD(G$3-1,MAX(1,Assumptions!$H$164))=0),Trees!$C$55*(Assumptions!$H$159+Assumptions!$H$160)*Sensitivity!$C$11,0)</f>
        <v/>
      </c>
      <c r="H63" s="25">
        <f>IF(AND(Assumptions!$H$164&gt;0,H$3&gt;1,MOD(H$3-1,MAX(1,Assumptions!$H$164))=0),Trees!$C$55*(Assumptions!$H$159+Assumptions!$H$160)*Sensitivity!$C$11,0)</f>
        <v/>
      </c>
      <c r="I63" s="25">
        <f>IF(AND(Assumptions!$H$164&gt;0,I$3&gt;1,MOD(I$3-1,MAX(1,Assumptions!$H$164))=0),Trees!$C$55*(Assumptions!$H$159+Assumptions!$H$160)*Sensitivity!$C$11,0)</f>
        <v/>
      </c>
      <c r="J63" s="25">
        <f>IF(AND(Assumptions!$H$164&gt;0,J$3&gt;1,MOD(J$3-1,MAX(1,Assumptions!$H$164))=0),Trees!$C$55*(Assumptions!$H$159+Assumptions!$H$160)*Sensitivity!$C$11,0)</f>
        <v/>
      </c>
      <c r="K63" s="25">
        <f>IF(AND(Assumptions!$H$164&gt;0,K$3&gt;1,MOD(K$3-1,MAX(1,Assumptions!$H$164))=0),Trees!$C$55*(Assumptions!$H$159+Assumptions!$H$160)*Sensitivity!$C$11,0)</f>
        <v/>
      </c>
      <c r="L63" s="25">
        <f>IF(AND(Assumptions!$H$164&gt;0,L$3&gt;1,MOD(L$3-1,MAX(1,Assumptions!$H$164))=0),Trees!$C$55*(Assumptions!$H$159+Assumptions!$H$160)*Sensitivity!$C$11,0)</f>
        <v/>
      </c>
      <c r="M63" s="25">
        <f>IF(AND(Assumptions!$H$164&gt;0,M$3&gt;1,MOD(M$3-1,MAX(1,Assumptions!$H$164))=0),Trees!$C$55*(Assumptions!$H$159+Assumptions!$H$160)*Sensitivity!$C$11,0)</f>
        <v/>
      </c>
    </row>
    <row r="65">
      <c r="A65" s="11" t="n"/>
      <c r="B65" s="12" t="inlineStr">
        <is>
          <t>Citrus</t>
        </is>
      </c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</row>
    <row r="66">
      <c r="A66" s="2" t="inlineStr">
        <is>
          <t>CIT_AREA</t>
        </is>
      </c>
      <c r="B66" s="6" t="inlineStr">
        <is>
          <t>Area</t>
        </is>
      </c>
      <c r="C66" s="24">
        <f>Land!$C$21</f>
        <v/>
      </c>
    </row>
    <row r="67">
      <c r="A67" s="2" t="inlineStr">
        <is>
          <t>CIT_PLANTS</t>
        </is>
      </c>
      <c r="B67" s="6" t="inlineStr">
        <is>
          <t>Plants planted</t>
        </is>
      </c>
      <c r="C67" s="25">
        <f>ROUND(C66*Assumptions!$H$166,0)</f>
        <v/>
      </c>
    </row>
    <row r="68">
      <c r="A68" s="2" t="inlineStr">
        <is>
          <t>CIT_STAND</t>
        </is>
      </c>
      <c r="B68" s="6" t="inlineStr">
        <is>
          <t>Final stand</t>
        </is>
      </c>
      <c r="C68" s="25">
        <f>C67*Assumptions!$H$167</f>
        <v/>
      </c>
    </row>
    <row r="69">
      <c r="A69" s="2" t="inlineStr">
        <is>
          <t>CIT_EST</t>
        </is>
      </c>
      <c r="B69" s="6" t="inlineStr">
        <is>
          <t>Establishment cost</t>
        </is>
      </c>
      <c r="C69" s="25">
        <f>C67*(Assumptions!$H$168+Assumptions!$H$169)*Sensitivity!$C$11</f>
        <v/>
      </c>
    </row>
    <row r="70">
      <c r="A70" s="2" t="inlineStr">
        <is>
          <t>CIT_GAP</t>
        </is>
      </c>
      <c r="B70" s="6" t="inlineStr">
        <is>
          <t>Gap-filling cost (year 2)</t>
        </is>
      </c>
      <c r="C70" s="25">
        <f>C67*(1-Assumptions!$H$167)*Assumptions!$H$168*Sensitivity!$C$11</f>
        <v/>
      </c>
    </row>
    <row r="71">
      <c r="A71" s="2" t="inlineStr">
        <is>
          <t>CIT_AGE</t>
        </is>
      </c>
      <c r="B71" s="6" t="inlineStr">
        <is>
          <t>Age in production cycle</t>
        </is>
      </c>
      <c r="C71" s="2" t="inlineStr">
        <is>
          <t>years</t>
        </is>
      </c>
      <c r="D71" s="28">
        <f>IF(Assumptions!$H$173=0,D$3-Sensitivity!$C$13,MOD(D$3-1,MAX(1,Assumptions!$H$173))+1)</f>
        <v/>
      </c>
      <c r="E71" s="28">
        <f>IF(Assumptions!$H$173=0,E$3-Sensitivity!$C$13,MOD(E$3-1,MAX(1,Assumptions!$H$173))+1)</f>
        <v/>
      </c>
      <c r="F71" s="28">
        <f>IF(Assumptions!$H$173=0,F$3-Sensitivity!$C$13,MOD(F$3-1,MAX(1,Assumptions!$H$173))+1)</f>
        <v/>
      </c>
      <c r="G71" s="28">
        <f>IF(Assumptions!$H$173=0,G$3-Sensitivity!$C$13,MOD(G$3-1,MAX(1,Assumptions!$H$173))+1)</f>
        <v/>
      </c>
      <c r="H71" s="28">
        <f>IF(Assumptions!$H$173=0,H$3-Sensitivity!$C$13,MOD(H$3-1,MAX(1,Assumptions!$H$173))+1)</f>
        <v/>
      </c>
      <c r="I71" s="28">
        <f>IF(Assumptions!$H$173=0,I$3-Sensitivity!$C$13,MOD(I$3-1,MAX(1,Assumptions!$H$173))+1)</f>
        <v/>
      </c>
      <c r="J71" s="28">
        <f>IF(Assumptions!$H$173=0,J$3-Sensitivity!$C$13,MOD(J$3-1,MAX(1,Assumptions!$H$173))+1)</f>
        <v/>
      </c>
      <c r="K71" s="28">
        <f>IF(Assumptions!$H$173=0,K$3-Sensitivity!$C$13,MOD(K$3-1,MAX(1,Assumptions!$H$173))+1)</f>
        <v/>
      </c>
      <c r="L71" s="28">
        <f>IF(Assumptions!$H$173=0,L$3-Sensitivity!$C$13,MOD(L$3-1,MAX(1,Assumptions!$H$173))+1)</f>
        <v/>
      </c>
      <c r="M71" s="28">
        <f>IF(Assumptions!$H$173=0,M$3-Sensitivity!$C$13,MOD(M$3-1,MAX(1,Assumptions!$H$173))+1)</f>
        <v/>
      </c>
    </row>
    <row r="72">
      <c r="A72" s="2" t="inlineStr">
        <is>
          <t>CIT_YLD</t>
        </is>
      </c>
      <c r="B72" s="6" t="inlineStr">
        <is>
          <t>Yield per plant</t>
        </is>
      </c>
      <c r="C72" s="2" t="inlineStr">
        <is>
          <t>kg</t>
        </is>
      </c>
      <c r="D72" s="29">
        <f>IF(D71&gt;=1,INDEX(Curves!$D$10:$M$10,1,MIN(10,MAX(1,D71))),0)*Assumptions!$H$170*Sensitivity!$C$7</f>
        <v/>
      </c>
      <c r="E72" s="29">
        <f>IF(E71&gt;=1,INDEX(Curves!$D$10:$M$10,1,MIN(10,MAX(1,E71))),0)*Assumptions!$H$170*Sensitivity!$C$7</f>
        <v/>
      </c>
      <c r="F72" s="29">
        <f>IF(F71&gt;=1,INDEX(Curves!$D$10:$M$10,1,MIN(10,MAX(1,F71))),0)*Assumptions!$H$170*Sensitivity!$C$7</f>
        <v/>
      </c>
      <c r="G72" s="29">
        <f>IF(G71&gt;=1,INDEX(Curves!$D$10:$M$10,1,MIN(10,MAX(1,G71))),0)*Assumptions!$H$170*Sensitivity!$C$7</f>
        <v/>
      </c>
      <c r="H72" s="29">
        <f>IF(H71&gt;=1,INDEX(Curves!$D$10:$M$10,1,MIN(10,MAX(1,H71))),0)*Assumptions!$H$170*Sensitivity!$C$7</f>
        <v/>
      </c>
      <c r="I72" s="29">
        <f>IF(I71&gt;=1,INDEX(Curves!$D$10:$M$10,1,MIN(10,MAX(1,I71))),0)*Assumptions!$H$170*Sensitivity!$C$7</f>
        <v/>
      </c>
      <c r="J72" s="29">
        <f>IF(J71&gt;=1,INDEX(Curves!$D$10:$M$10,1,MIN(10,MAX(1,J71))),0)*Assumptions!$H$170*Sensitivity!$C$7</f>
        <v/>
      </c>
      <c r="K72" s="29">
        <f>IF(K71&gt;=1,INDEX(Curves!$D$10:$M$10,1,MIN(10,MAX(1,K71))),0)*Assumptions!$H$170*Sensitivity!$C$7</f>
        <v/>
      </c>
      <c r="L72" s="29">
        <f>IF(L71&gt;=1,INDEX(Curves!$D$10:$M$10,1,MIN(10,MAX(1,L71))),0)*Assumptions!$H$170*Sensitivity!$C$7</f>
        <v/>
      </c>
      <c r="M72" s="29">
        <f>IF(M71&gt;=1,INDEX(Curves!$D$10:$M$10,1,MIN(10,MAX(1,M71))),0)*Assumptions!$H$170*Sensitivity!$C$7</f>
        <v/>
      </c>
    </row>
    <row r="73">
      <c r="A73" s="2" t="inlineStr">
        <is>
          <t>CIT_PROD</t>
        </is>
      </c>
      <c r="B73" s="6" t="inlineStr">
        <is>
          <t>Marketable production</t>
        </is>
      </c>
      <c r="C73" s="2" t="inlineStr">
        <is>
          <t>kg</t>
        </is>
      </c>
      <c r="D73" s="25">
        <f>Trees!$C$68*D72*Assumptions!$H$171</f>
        <v/>
      </c>
      <c r="E73" s="25">
        <f>Trees!$C$68*E72*Assumptions!$H$171</f>
        <v/>
      </c>
      <c r="F73" s="25">
        <f>Trees!$C$68*F72*Assumptions!$H$171</f>
        <v/>
      </c>
      <c r="G73" s="25">
        <f>Trees!$C$68*G72*Assumptions!$H$171</f>
        <v/>
      </c>
      <c r="H73" s="25">
        <f>Trees!$C$68*H72*Assumptions!$H$171</f>
        <v/>
      </c>
      <c r="I73" s="25">
        <f>Trees!$C$68*I72*Assumptions!$H$171</f>
        <v/>
      </c>
      <c r="J73" s="25">
        <f>Trees!$C$68*J72*Assumptions!$H$171</f>
        <v/>
      </c>
      <c r="K73" s="25">
        <f>Trees!$C$68*K72*Assumptions!$H$171</f>
        <v/>
      </c>
      <c r="L73" s="25">
        <f>Trees!$C$68*L72*Assumptions!$H$171</f>
        <v/>
      </c>
      <c r="M73" s="25">
        <f>Trees!$C$68*M72*Assumptions!$H$171</f>
        <v/>
      </c>
    </row>
    <row r="74">
      <c r="A74" s="2" t="inlineStr">
        <is>
          <t>CIT_REV</t>
        </is>
      </c>
      <c r="B74" s="6" t="inlineStr">
        <is>
          <t>Sales</t>
        </is>
      </c>
      <c r="C74" s="2" t="inlineStr">
        <is>
          <t>RWF</t>
        </is>
      </c>
      <c r="D74" s="25">
        <f>D73*Assumptions!$H$172*Sensitivity!$C$5</f>
        <v/>
      </c>
      <c r="E74" s="25">
        <f>E73*Assumptions!$H$172*Sensitivity!$C$5</f>
        <v/>
      </c>
      <c r="F74" s="25">
        <f>F73*Assumptions!$H$172*Sensitivity!$C$5</f>
        <v/>
      </c>
      <c r="G74" s="25">
        <f>G73*Assumptions!$H$172*Sensitivity!$C$5</f>
        <v/>
      </c>
      <c r="H74" s="25">
        <f>H73*Assumptions!$H$172*Sensitivity!$C$5</f>
        <v/>
      </c>
      <c r="I74" s="25">
        <f>I73*Assumptions!$H$172*Sensitivity!$C$5</f>
        <v/>
      </c>
      <c r="J74" s="25">
        <f>J73*Assumptions!$H$172*Sensitivity!$C$5</f>
        <v/>
      </c>
      <c r="K74" s="25">
        <f>K73*Assumptions!$H$172*Sensitivity!$C$5</f>
        <v/>
      </c>
      <c r="L74" s="25">
        <f>L73*Assumptions!$H$172*Sensitivity!$C$5</f>
        <v/>
      </c>
      <c r="M74" s="25">
        <f>M73*Assumptions!$H$172*Sensitivity!$C$5</f>
        <v/>
      </c>
    </row>
    <row r="75">
      <c r="A75" s="2" t="inlineStr">
        <is>
          <t>CIT_REPL</t>
        </is>
      </c>
      <c r="B75" s="6" t="inlineStr">
        <is>
          <t>Replanting (short-cycle crops)</t>
        </is>
      </c>
      <c r="C75" s="2" t="inlineStr">
        <is>
          <t>RWF</t>
        </is>
      </c>
      <c r="D75" s="25">
        <f>IF(AND(Assumptions!$H$173&gt;0,D$3&gt;1,MOD(D$3-1,MAX(1,Assumptions!$H$173))=0),Trees!$C$67*(Assumptions!$H$168+Assumptions!$H$169)*Sensitivity!$C$11,0)</f>
        <v/>
      </c>
      <c r="E75" s="25">
        <f>IF(AND(Assumptions!$H$173&gt;0,E$3&gt;1,MOD(E$3-1,MAX(1,Assumptions!$H$173))=0),Trees!$C$67*(Assumptions!$H$168+Assumptions!$H$169)*Sensitivity!$C$11,0)</f>
        <v/>
      </c>
      <c r="F75" s="25">
        <f>IF(AND(Assumptions!$H$173&gt;0,F$3&gt;1,MOD(F$3-1,MAX(1,Assumptions!$H$173))=0),Trees!$C$67*(Assumptions!$H$168+Assumptions!$H$169)*Sensitivity!$C$11,0)</f>
        <v/>
      </c>
      <c r="G75" s="25">
        <f>IF(AND(Assumptions!$H$173&gt;0,G$3&gt;1,MOD(G$3-1,MAX(1,Assumptions!$H$173))=0),Trees!$C$67*(Assumptions!$H$168+Assumptions!$H$169)*Sensitivity!$C$11,0)</f>
        <v/>
      </c>
      <c r="H75" s="25">
        <f>IF(AND(Assumptions!$H$173&gt;0,H$3&gt;1,MOD(H$3-1,MAX(1,Assumptions!$H$173))=0),Trees!$C$67*(Assumptions!$H$168+Assumptions!$H$169)*Sensitivity!$C$11,0)</f>
        <v/>
      </c>
      <c r="I75" s="25">
        <f>IF(AND(Assumptions!$H$173&gt;0,I$3&gt;1,MOD(I$3-1,MAX(1,Assumptions!$H$173))=0),Trees!$C$67*(Assumptions!$H$168+Assumptions!$H$169)*Sensitivity!$C$11,0)</f>
        <v/>
      </c>
      <c r="J75" s="25">
        <f>IF(AND(Assumptions!$H$173&gt;0,J$3&gt;1,MOD(J$3-1,MAX(1,Assumptions!$H$173))=0),Trees!$C$67*(Assumptions!$H$168+Assumptions!$H$169)*Sensitivity!$C$11,0)</f>
        <v/>
      </c>
      <c r="K75" s="25">
        <f>IF(AND(Assumptions!$H$173&gt;0,K$3&gt;1,MOD(K$3-1,MAX(1,Assumptions!$H$173))=0),Trees!$C$67*(Assumptions!$H$168+Assumptions!$H$169)*Sensitivity!$C$11,0)</f>
        <v/>
      </c>
      <c r="L75" s="25">
        <f>IF(AND(Assumptions!$H$173&gt;0,L$3&gt;1,MOD(L$3-1,MAX(1,Assumptions!$H$173))=0),Trees!$C$67*(Assumptions!$H$168+Assumptions!$H$169)*Sensitivity!$C$11,0)</f>
        <v/>
      </c>
      <c r="M75" s="25">
        <f>IF(AND(Assumptions!$H$173&gt;0,M$3&gt;1,MOD(M$3-1,MAX(1,Assumptions!$H$173))=0),Trees!$C$67*(Assumptions!$H$168+Assumptions!$H$169)*Sensitivity!$C$11,0)</f>
        <v/>
      </c>
    </row>
    <row r="77">
      <c r="A77" s="11" t="n"/>
      <c r="B77" s="12" t="inlineStr">
        <is>
          <t>Macadamia (nut in shell)</t>
        </is>
      </c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</row>
    <row r="78">
      <c r="A78" s="2" t="inlineStr">
        <is>
          <t>MAC_AREA</t>
        </is>
      </c>
      <c r="B78" s="6" t="inlineStr">
        <is>
          <t>Area</t>
        </is>
      </c>
      <c r="C78" s="24">
        <f>Land!$C$22</f>
        <v/>
      </c>
    </row>
    <row r="79">
      <c r="A79" s="2" t="inlineStr">
        <is>
          <t>MAC_PLANTS</t>
        </is>
      </c>
      <c r="B79" s="6" t="inlineStr">
        <is>
          <t>Plants planted</t>
        </is>
      </c>
      <c r="C79" s="25">
        <f>ROUND(C78*Assumptions!$H$175,0)</f>
        <v/>
      </c>
    </row>
    <row r="80">
      <c r="A80" s="2" t="inlineStr">
        <is>
          <t>MAC_STAND</t>
        </is>
      </c>
      <c r="B80" s="6" t="inlineStr">
        <is>
          <t>Final stand</t>
        </is>
      </c>
      <c r="C80" s="25">
        <f>C79*Assumptions!$H$176</f>
        <v/>
      </c>
    </row>
    <row r="81">
      <c r="A81" s="2" t="inlineStr">
        <is>
          <t>MAC_EST</t>
        </is>
      </c>
      <c r="B81" s="6" t="inlineStr">
        <is>
          <t>Establishment cost</t>
        </is>
      </c>
      <c r="C81" s="25">
        <f>C79*(Assumptions!$H$177+Assumptions!$H$178)*Sensitivity!$C$11</f>
        <v/>
      </c>
    </row>
    <row r="82">
      <c r="A82" s="2" t="inlineStr">
        <is>
          <t>MAC_GAP</t>
        </is>
      </c>
      <c r="B82" s="6" t="inlineStr">
        <is>
          <t>Gap-filling cost (year 2)</t>
        </is>
      </c>
      <c r="C82" s="25">
        <f>C79*(1-Assumptions!$H$176)*Assumptions!$H$177*Sensitivity!$C$11</f>
        <v/>
      </c>
    </row>
    <row r="83">
      <c r="A83" s="2" t="inlineStr">
        <is>
          <t>MAC_AGE</t>
        </is>
      </c>
      <c r="B83" s="6" t="inlineStr">
        <is>
          <t>Age in production cycle</t>
        </is>
      </c>
      <c r="C83" s="2" t="inlineStr">
        <is>
          <t>years</t>
        </is>
      </c>
      <c r="D83" s="28">
        <f>IF(Assumptions!$H$182=0,D$3-Sensitivity!$C$13,MOD(D$3-1,MAX(1,Assumptions!$H$182))+1)</f>
        <v/>
      </c>
      <c r="E83" s="28">
        <f>IF(Assumptions!$H$182=0,E$3-Sensitivity!$C$13,MOD(E$3-1,MAX(1,Assumptions!$H$182))+1)</f>
        <v/>
      </c>
      <c r="F83" s="28">
        <f>IF(Assumptions!$H$182=0,F$3-Sensitivity!$C$13,MOD(F$3-1,MAX(1,Assumptions!$H$182))+1)</f>
        <v/>
      </c>
      <c r="G83" s="28">
        <f>IF(Assumptions!$H$182=0,G$3-Sensitivity!$C$13,MOD(G$3-1,MAX(1,Assumptions!$H$182))+1)</f>
        <v/>
      </c>
      <c r="H83" s="28">
        <f>IF(Assumptions!$H$182=0,H$3-Sensitivity!$C$13,MOD(H$3-1,MAX(1,Assumptions!$H$182))+1)</f>
        <v/>
      </c>
      <c r="I83" s="28">
        <f>IF(Assumptions!$H$182=0,I$3-Sensitivity!$C$13,MOD(I$3-1,MAX(1,Assumptions!$H$182))+1)</f>
        <v/>
      </c>
      <c r="J83" s="28">
        <f>IF(Assumptions!$H$182=0,J$3-Sensitivity!$C$13,MOD(J$3-1,MAX(1,Assumptions!$H$182))+1)</f>
        <v/>
      </c>
      <c r="K83" s="28">
        <f>IF(Assumptions!$H$182=0,K$3-Sensitivity!$C$13,MOD(K$3-1,MAX(1,Assumptions!$H$182))+1)</f>
        <v/>
      </c>
      <c r="L83" s="28">
        <f>IF(Assumptions!$H$182=0,L$3-Sensitivity!$C$13,MOD(L$3-1,MAX(1,Assumptions!$H$182))+1)</f>
        <v/>
      </c>
      <c r="M83" s="28">
        <f>IF(Assumptions!$H$182=0,M$3-Sensitivity!$C$13,MOD(M$3-1,MAX(1,Assumptions!$H$182))+1)</f>
        <v/>
      </c>
    </row>
    <row r="84">
      <c r="A84" s="2" t="inlineStr">
        <is>
          <t>MAC_YLD</t>
        </is>
      </c>
      <c r="B84" s="6" t="inlineStr">
        <is>
          <t>Yield per plant</t>
        </is>
      </c>
      <c r="C84" s="2" t="inlineStr">
        <is>
          <t>kg</t>
        </is>
      </c>
      <c r="D84" s="29">
        <f>IF(D83&gt;=1,INDEX(Curves!$D$11:$M$11,1,MIN(10,MAX(1,D83))),0)*Assumptions!$H$179*Sensitivity!$C$7</f>
        <v/>
      </c>
      <c r="E84" s="29">
        <f>IF(E83&gt;=1,INDEX(Curves!$D$11:$M$11,1,MIN(10,MAX(1,E83))),0)*Assumptions!$H$179*Sensitivity!$C$7</f>
        <v/>
      </c>
      <c r="F84" s="29">
        <f>IF(F83&gt;=1,INDEX(Curves!$D$11:$M$11,1,MIN(10,MAX(1,F83))),0)*Assumptions!$H$179*Sensitivity!$C$7</f>
        <v/>
      </c>
      <c r="G84" s="29">
        <f>IF(G83&gt;=1,INDEX(Curves!$D$11:$M$11,1,MIN(10,MAX(1,G83))),0)*Assumptions!$H$179*Sensitivity!$C$7</f>
        <v/>
      </c>
      <c r="H84" s="29">
        <f>IF(H83&gt;=1,INDEX(Curves!$D$11:$M$11,1,MIN(10,MAX(1,H83))),0)*Assumptions!$H$179*Sensitivity!$C$7</f>
        <v/>
      </c>
      <c r="I84" s="29">
        <f>IF(I83&gt;=1,INDEX(Curves!$D$11:$M$11,1,MIN(10,MAX(1,I83))),0)*Assumptions!$H$179*Sensitivity!$C$7</f>
        <v/>
      </c>
      <c r="J84" s="29">
        <f>IF(J83&gt;=1,INDEX(Curves!$D$11:$M$11,1,MIN(10,MAX(1,J83))),0)*Assumptions!$H$179*Sensitivity!$C$7</f>
        <v/>
      </c>
      <c r="K84" s="29">
        <f>IF(K83&gt;=1,INDEX(Curves!$D$11:$M$11,1,MIN(10,MAX(1,K83))),0)*Assumptions!$H$179*Sensitivity!$C$7</f>
        <v/>
      </c>
      <c r="L84" s="29">
        <f>IF(L83&gt;=1,INDEX(Curves!$D$11:$M$11,1,MIN(10,MAX(1,L83))),0)*Assumptions!$H$179*Sensitivity!$C$7</f>
        <v/>
      </c>
      <c r="M84" s="29">
        <f>IF(M83&gt;=1,INDEX(Curves!$D$11:$M$11,1,MIN(10,MAX(1,M83))),0)*Assumptions!$H$179*Sensitivity!$C$7</f>
        <v/>
      </c>
    </row>
    <row r="85">
      <c r="A85" s="2" t="inlineStr">
        <is>
          <t>MAC_PROD</t>
        </is>
      </c>
      <c r="B85" s="6" t="inlineStr">
        <is>
          <t>Marketable production</t>
        </is>
      </c>
      <c r="C85" s="2" t="inlineStr">
        <is>
          <t>kg</t>
        </is>
      </c>
      <c r="D85" s="25">
        <f>Trees!$C$80*D84*Assumptions!$H$180</f>
        <v/>
      </c>
      <c r="E85" s="25">
        <f>Trees!$C$80*E84*Assumptions!$H$180</f>
        <v/>
      </c>
      <c r="F85" s="25">
        <f>Trees!$C$80*F84*Assumptions!$H$180</f>
        <v/>
      </c>
      <c r="G85" s="25">
        <f>Trees!$C$80*G84*Assumptions!$H$180</f>
        <v/>
      </c>
      <c r="H85" s="25">
        <f>Trees!$C$80*H84*Assumptions!$H$180</f>
        <v/>
      </c>
      <c r="I85" s="25">
        <f>Trees!$C$80*I84*Assumptions!$H$180</f>
        <v/>
      </c>
      <c r="J85" s="25">
        <f>Trees!$C$80*J84*Assumptions!$H$180</f>
        <v/>
      </c>
      <c r="K85" s="25">
        <f>Trees!$C$80*K84*Assumptions!$H$180</f>
        <v/>
      </c>
      <c r="L85" s="25">
        <f>Trees!$C$80*L84*Assumptions!$H$180</f>
        <v/>
      </c>
      <c r="M85" s="25">
        <f>Trees!$C$80*M84*Assumptions!$H$180</f>
        <v/>
      </c>
    </row>
    <row r="86">
      <c r="A86" s="2" t="inlineStr">
        <is>
          <t>MAC_REV</t>
        </is>
      </c>
      <c r="B86" s="6" t="inlineStr">
        <is>
          <t>Sales</t>
        </is>
      </c>
      <c r="C86" s="2" t="inlineStr">
        <is>
          <t>RWF</t>
        </is>
      </c>
      <c r="D86" s="25">
        <f>D85*Assumptions!$H$181*Sensitivity!$C$5</f>
        <v/>
      </c>
      <c r="E86" s="25">
        <f>E85*Assumptions!$H$181*Sensitivity!$C$5</f>
        <v/>
      </c>
      <c r="F86" s="25">
        <f>F85*Assumptions!$H$181*Sensitivity!$C$5</f>
        <v/>
      </c>
      <c r="G86" s="25">
        <f>G85*Assumptions!$H$181*Sensitivity!$C$5</f>
        <v/>
      </c>
      <c r="H86" s="25">
        <f>H85*Assumptions!$H$181*Sensitivity!$C$5</f>
        <v/>
      </c>
      <c r="I86" s="25">
        <f>I85*Assumptions!$H$181*Sensitivity!$C$5</f>
        <v/>
      </c>
      <c r="J86" s="25">
        <f>J85*Assumptions!$H$181*Sensitivity!$C$5</f>
        <v/>
      </c>
      <c r="K86" s="25">
        <f>K85*Assumptions!$H$181*Sensitivity!$C$5</f>
        <v/>
      </c>
      <c r="L86" s="25">
        <f>L85*Assumptions!$H$181*Sensitivity!$C$5</f>
        <v/>
      </c>
      <c r="M86" s="25">
        <f>M85*Assumptions!$H$181*Sensitivity!$C$5</f>
        <v/>
      </c>
    </row>
    <row r="87">
      <c r="A87" s="2" t="inlineStr">
        <is>
          <t>MAC_REPL</t>
        </is>
      </c>
      <c r="B87" s="6" t="inlineStr">
        <is>
          <t>Replanting (short-cycle crops)</t>
        </is>
      </c>
      <c r="C87" s="2" t="inlineStr">
        <is>
          <t>RWF</t>
        </is>
      </c>
      <c r="D87" s="25">
        <f>IF(AND(Assumptions!$H$182&gt;0,D$3&gt;1,MOD(D$3-1,MAX(1,Assumptions!$H$182))=0),Trees!$C$79*(Assumptions!$H$177+Assumptions!$H$178)*Sensitivity!$C$11,0)</f>
        <v/>
      </c>
      <c r="E87" s="25">
        <f>IF(AND(Assumptions!$H$182&gt;0,E$3&gt;1,MOD(E$3-1,MAX(1,Assumptions!$H$182))=0),Trees!$C$79*(Assumptions!$H$177+Assumptions!$H$178)*Sensitivity!$C$11,0)</f>
        <v/>
      </c>
      <c r="F87" s="25">
        <f>IF(AND(Assumptions!$H$182&gt;0,F$3&gt;1,MOD(F$3-1,MAX(1,Assumptions!$H$182))=0),Trees!$C$79*(Assumptions!$H$177+Assumptions!$H$178)*Sensitivity!$C$11,0)</f>
        <v/>
      </c>
      <c r="G87" s="25">
        <f>IF(AND(Assumptions!$H$182&gt;0,G$3&gt;1,MOD(G$3-1,MAX(1,Assumptions!$H$182))=0),Trees!$C$79*(Assumptions!$H$177+Assumptions!$H$178)*Sensitivity!$C$11,0)</f>
        <v/>
      </c>
      <c r="H87" s="25">
        <f>IF(AND(Assumptions!$H$182&gt;0,H$3&gt;1,MOD(H$3-1,MAX(1,Assumptions!$H$182))=0),Trees!$C$79*(Assumptions!$H$177+Assumptions!$H$178)*Sensitivity!$C$11,0)</f>
        <v/>
      </c>
      <c r="I87" s="25">
        <f>IF(AND(Assumptions!$H$182&gt;0,I$3&gt;1,MOD(I$3-1,MAX(1,Assumptions!$H$182))=0),Trees!$C$79*(Assumptions!$H$177+Assumptions!$H$178)*Sensitivity!$C$11,0)</f>
        <v/>
      </c>
      <c r="J87" s="25">
        <f>IF(AND(Assumptions!$H$182&gt;0,J$3&gt;1,MOD(J$3-1,MAX(1,Assumptions!$H$182))=0),Trees!$C$79*(Assumptions!$H$177+Assumptions!$H$178)*Sensitivity!$C$11,0)</f>
        <v/>
      </c>
      <c r="K87" s="25">
        <f>IF(AND(Assumptions!$H$182&gt;0,K$3&gt;1,MOD(K$3-1,MAX(1,Assumptions!$H$182))=0),Trees!$C$79*(Assumptions!$H$177+Assumptions!$H$178)*Sensitivity!$C$11,0)</f>
        <v/>
      </c>
      <c r="L87" s="25">
        <f>IF(AND(Assumptions!$H$182&gt;0,L$3&gt;1,MOD(L$3-1,MAX(1,Assumptions!$H$182))=0),Trees!$C$79*(Assumptions!$H$177+Assumptions!$H$178)*Sensitivity!$C$11,0)</f>
        <v/>
      </c>
      <c r="M87" s="25">
        <f>IF(AND(Assumptions!$H$182&gt;0,M$3&gt;1,MOD(M$3-1,MAX(1,Assumptions!$H$182))=0),Trees!$C$79*(Assumptions!$H$177+Assumptions!$H$178)*Sensitivity!$C$11,0)</f>
        <v/>
      </c>
    </row>
    <row r="89">
      <c r="A89" s="11" t="n"/>
      <c r="B89" s="12" t="inlineStr">
        <is>
          <t>Boundary timber and poles</t>
        </is>
      </c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</row>
    <row r="90">
      <c r="A90" s="2" t="inlineStr">
        <is>
          <t>TIM_TREES</t>
        </is>
      </c>
      <c r="B90" s="6" t="inlineStr">
        <is>
          <t>Trees planted on the boundary</t>
        </is>
      </c>
      <c r="C90" s="25">
        <f>ROUND(Land!$C$6/Assumptions!$H$185,0)</f>
        <v/>
      </c>
    </row>
    <row r="91">
      <c r="A91" s="2" t="inlineStr">
        <is>
          <t>TIM_STAND</t>
        </is>
      </c>
      <c r="B91" s="6" t="inlineStr">
        <is>
          <t>Final stand</t>
        </is>
      </c>
      <c r="C91" s="25">
        <f>C90*Assumptions!$H$186</f>
        <v/>
      </c>
    </row>
    <row r="92">
      <c r="A92" s="2" t="inlineStr">
        <is>
          <t>TIM_EST</t>
        </is>
      </c>
      <c r="B92" s="6" t="inlineStr">
        <is>
          <t>Establishment cost</t>
        </is>
      </c>
      <c r="C92" s="25">
        <f>C90*(Assumptions!$H$187+Assumptions!$H$188)*Sensitivity!$C$11</f>
        <v/>
      </c>
    </row>
    <row r="93">
      <c r="A93" s="2" t="inlineStr">
        <is>
          <t>TIM_MEMO</t>
        </is>
      </c>
      <c r="B93" s="6" t="inlineStr">
        <is>
          <t>Memo: standing value of remaining trees at Y10 (not in NPV)</t>
        </is>
      </c>
      <c r="C93" s="25">
        <f>C91*(1-Assumptions!$H$190)*Assumptions!$H$192</f>
        <v/>
      </c>
    </row>
    <row r="94">
      <c r="A94" s="2" t="inlineStr">
        <is>
          <t>TIM_REV</t>
        </is>
      </c>
      <c r="B94" s="6" t="inlineStr">
        <is>
          <t>Pole sales (first thinning)</t>
        </is>
      </c>
      <c r="C94" s="2" t="inlineStr">
        <is>
          <t>RWF</t>
        </is>
      </c>
      <c r="D94" s="25">
        <f>IF(D$3=Assumptions!$H$189,Trees!$C$91*Assumptions!$H$190*Assumptions!$H$191,0)</f>
        <v/>
      </c>
      <c r="E94" s="25">
        <f>IF(E$3=Assumptions!$H$189,Trees!$C$91*Assumptions!$H$190*Assumptions!$H$191,0)</f>
        <v/>
      </c>
      <c r="F94" s="25">
        <f>IF(F$3=Assumptions!$H$189,Trees!$C$91*Assumptions!$H$190*Assumptions!$H$191,0)</f>
        <v/>
      </c>
      <c r="G94" s="25">
        <f>IF(G$3=Assumptions!$H$189,Trees!$C$91*Assumptions!$H$190*Assumptions!$H$191,0)</f>
        <v/>
      </c>
      <c r="H94" s="25">
        <f>IF(H$3=Assumptions!$H$189,Trees!$C$91*Assumptions!$H$190*Assumptions!$H$191,0)</f>
        <v/>
      </c>
      <c r="I94" s="25">
        <f>IF(I$3=Assumptions!$H$189,Trees!$C$91*Assumptions!$H$190*Assumptions!$H$191,0)</f>
        <v/>
      </c>
      <c r="J94" s="25">
        <f>IF(J$3=Assumptions!$H$189,Trees!$C$91*Assumptions!$H$190*Assumptions!$H$191,0)</f>
        <v/>
      </c>
      <c r="K94" s="25">
        <f>IF(K$3=Assumptions!$H$189,Trees!$C$91*Assumptions!$H$190*Assumptions!$H$191,0)</f>
        <v/>
      </c>
      <c r="L94" s="25">
        <f>IF(L$3=Assumptions!$H$189,Trees!$C$91*Assumptions!$H$190*Assumptions!$H$191,0)</f>
        <v/>
      </c>
      <c r="M94" s="25">
        <f>IF(M$3=Assumptions!$H$189,Trees!$C$91*Assumptions!$H$190*Assumptions!$H$191,0)</f>
        <v/>
      </c>
    </row>
    <row r="96">
      <c r="A96" s="11" t="n"/>
      <c r="B96" s="12" t="inlineStr">
        <is>
          <t>Totals</t>
        </is>
      </c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</row>
    <row r="97">
      <c r="A97" s="2" t="inlineStr">
        <is>
          <t>TR_EST</t>
        </is>
      </c>
      <c r="B97" s="3" t="inlineStr">
        <is>
          <t>Orchard establishment cost (all crops)</t>
        </is>
      </c>
      <c r="C97" s="30">
        <f>Trees!$C$9+Trees!$C$21+Trees!$C$33+Trees!$C$45+Trees!$C$57+Trees!$C$69+Trees!$C$81</f>
        <v/>
      </c>
    </row>
    <row r="98">
      <c r="A98" s="2" t="inlineStr">
        <is>
          <t>TR_GAP</t>
        </is>
      </c>
      <c r="B98" s="3" t="inlineStr">
        <is>
          <t>Gap-filling cost, year 2 (all crops)</t>
        </is>
      </c>
      <c r="C98" s="30">
        <f>Trees!$C$10+Trees!$C$22+Trees!$C$34+Trees!$C$46+Trees!$C$58+Trees!$C$70+Trees!$C$82</f>
        <v/>
      </c>
    </row>
    <row r="99">
      <c r="A99" s="2" t="inlineStr">
        <is>
          <t>TR_REV</t>
        </is>
      </c>
      <c r="B99" s="3" t="inlineStr">
        <is>
          <t>Fruit sales (all crops)</t>
        </is>
      </c>
      <c r="C99" s="2" t="inlineStr">
        <is>
          <t>RWF</t>
        </is>
      </c>
      <c r="D99" s="31">
        <f>D14+D26+D38+D50+D62+D74+D86</f>
        <v/>
      </c>
      <c r="E99" s="31">
        <f>E14+E26+E38+E50+E62+E74+E86</f>
        <v/>
      </c>
      <c r="F99" s="31">
        <f>F14+F26+F38+F50+F62+F74+F86</f>
        <v/>
      </c>
      <c r="G99" s="31">
        <f>G14+G26+G38+G50+G62+G74+G86</f>
        <v/>
      </c>
      <c r="H99" s="31">
        <f>H14+H26+H38+H50+H62+H74+H86</f>
        <v/>
      </c>
      <c r="I99" s="31">
        <f>I14+I26+I38+I50+I62+I74+I86</f>
        <v/>
      </c>
      <c r="J99" s="31">
        <f>J14+J26+J38+J50+J62+J74+J86</f>
        <v/>
      </c>
      <c r="K99" s="31">
        <f>K14+K26+K38+K50+K62+K74+K86</f>
        <v/>
      </c>
      <c r="L99" s="31">
        <f>L14+L26+L38+L50+L62+L74+L86</f>
        <v/>
      </c>
      <c r="M99" s="31">
        <f>M14+M26+M38+M50+M62+M74+M86</f>
        <v/>
      </c>
    </row>
    <row r="100">
      <c r="A100" s="2" t="inlineStr">
        <is>
          <t>TR_PROD</t>
        </is>
      </c>
      <c r="B100" s="3" t="inlineStr">
        <is>
          <t>Marketable fruit (all crops)</t>
        </is>
      </c>
      <c r="C100" s="2" t="inlineStr">
        <is>
          <t>kg</t>
        </is>
      </c>
      <c r="D100" s="31">
        <f>D13+D25+D37+D49+D61+D73+D85</f>
        <v/>
      </c>
      <c r="E100" s="31">
        <f>E13+E25+E37+E49+E61+E73+E85</f>
        <v/>
      </c>
      <c r="F100" s="31">
        <f>F13+F25+F37+F49+F61+F73+F85</f>
        <v/>
      </c>
      <c r="G100" s="31">
        <f>G13+G25+G37+G49+G61+G73+G85</f>
        <v/>
      </c>
      <c r="H100" s="31">
        <f>H13+H25+H37+H49+H61+H73+H85</f>
        <v/>
      </c>
      <c r="I100" s="31">
        <f>I13+I25+I37+I49+I61+I73+I85</f>
        <v/>
      </c>
      <c r="J100" s="31">
        <f>J13+J25+J37+J49+J61+J73+J85</f>
        <v/>
      </c>
      <c r="K100" s="31">
        <f>K13+K25+K37+K49+K61+K73+K85</f>
        <v/>
      </c>
      <c r="L100" s="31">
        <f>L13+L25+L37+L49+L61+L73+L85</f>
        <v/>
      </c>
      <c r="M100" s="31">
        <f>M13+M25+M37+M49+M61+M73+M85</f>
        <v/>
      </c>
    </row>
    <row r="101">
      <c r="A101" s="2" t="inlineStr">
        <is>
          <t>TR_REPL</t>
        </is>
      </c>
      <c r="B101" s="3" t="inlineStr">
        <is>
          <t>Replanting (all crops)</t>
        </is>
      </c>
      <c r="C101" s="2" t="inlineStr">
        <is>
          <t>RWF</t>
        </is>
      </c>
      <c r="D101" s="31">
        <f>D15+D27+D39+D51+D63+D75+D87</f>
        <v/>
      </c>
      <c r="E101" s="31">
        <f>E15+E27+E39+E51+E63+E75+E87</f>
        <v/>
      </c>
      <c r="F101" s="31">
        <f>F15+F27+F39+F51+F63+F75+F87</f>
        <v/>
      </c>
      <c r="G101" s="31">
        <f>G15+G27+G39+G51+G63+G75+G87</f>
        <v/>
      </c>
      <c r="H101" s="31">
        <f>H15+H27+H39+H51+H63+H75+H87</f>
        <v/>
      </c>
      <c r="I101" s="31">
        <f>I15+I27+I39+I51+I63+I75+I87</f>
        <v/>
      </c>
      <c r="J101" s="31">
        <f>J15+J27+J39+J51+J63+J75+J87</f>
        <v/>
      </c>
      <c r="K101" s="31">
        <f>K15+K27+K39+K51+K63+K75+K87</f>
        <v/>
      </c>
      <c r="L101" s="31">
        <f>L15+L27+L39+L51+L63+L75+L87</f>
        <v/>
      </c>
      <c r="M101" s="31">
        <f>M15+M27+M39+M51+M63+M75+M87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S54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</cols>
  <sheetData>
    <row r="1">
      <c r="A1" s="1" t="inlineStr">
        <is>
          <t>Livestock</t>
        </is>
      </c>
    </row>
    <row r="2">
      <c r="A2" s="2" t="inlineStr">
        <is>
          <t>Monthly herd engine. Young are sold at 9 months; females give first birth 6 months after joining.</t>
        </is>
      </c>
    </row>
    <row r="3">
      <c r="B3" s="3" t="inlineStr">
        <is>
          <t>Month</t>
        </is>
      </c>
      <c r="D3" s="32" t="n">
        <v>1</v>
      </c>
      <c r="E3" s="32" t="n">
        <v>2</v>
      </c>
      <c r="F3" s="32" t="n">
        <v>3</v>
      </c>
      <c r="G3" s="32" t="n">
        <v>4</v>
      </c>
      <c r="H3" s="32" t="n">
        <v>5</v>
      </c>
      <c r="I3" s="32" t="n">
        <v>6</v>
      </c>
      <c r="J3" s="32" t="n">
        <v>7</v>
      </c>
      <c r="K3" s="32" t="n">
        <v>8</v>
      </c>
      <c r="L3" s="32" t="n">
        <v>9</v>
      </c>
      <c r="M3" s="32" t="n">
        <v>10</v>
      </c>
      <c r="N3" s="32" t="n">
        <v>11</v>
      </c>
      <c r="O3" s="32" t="n">
        <v>12</v>
      </c>
      <c r="P3" s="32" t="n">
        <v>13</v>
      </c>
      <c r="Q3" s="32" t="n">
        <v>14</v>
      </c>
      <c r="R3" s="32" t="n">
        <v>15</v>
      </c>
      <c r="S3" s="32" t="n">
        <v>16</v>
      </c>
      <c r="T3" s="32" t="n">
        <v>17</v>
      </c>
      <c r="U3" s="32" t="n">
        <v>18</v>
      </c>
      <c r="V3" s="32" t="n">
        <v>19</v>
      </c>
      <c r="W3" s="32" t="n">
        <v>20</v>
      </c>
      <c r="X3" s="32" t="n">
        <v>21</v>
      </c>
      <c r="Y3" s="32" t="n">
        <v>22</v>
      </c>
      <c r="Z3" s="32" t="n">
        <v>23</v>
      </c>
      <c r="AA3" s="32" t="n">
        <v>24</v>
      </c>
      <c r="AB3" s="32" t="n">
        <v>25</v>
      </c>
      <c r="AC3" s="32" t="n">
        <v>26</v>
      </c>
      <c r="AD3" s="32" t="n">
        <v>27</v>
      </c>
      <c r="AE3" s="32" t="n">
        <v>28</v>
      </c>
      <c r="AF3" s="32" t="n">
        <v>29</v>
      </c>
      <c r="AG3" s="32" t="n">
        <v>30</v>
      </c>
      <c r="AH3" s="32" t="n">
        <v>31</v>
      </c>
      <c r="AI3" s="32" t="n">
        <v>32</v>
      </c>
      <c r="AJ3" s="32" t="n">
        <v>33</v>
      </c>
      <c r="AK3" s="32" t="n">
        <v>34</v>
      </c>
      <c r="AL3" s="32" t="n">
        <v>35</v>
      </c>
      <c r="AM3" s="32" t="n">
        <v>36</v>
      </c>
      <c r="AN3" s="32" t="n">
        <v>37</v>
      </c>
      <c r="AO3" s="32" t="n">
        <v>38</v>
      </c>
      <c r="AP3" s="32" t="n">
        <v>39</v>
      </c>
      <c r="AQ3" s="32" t="n">
        <v>40</v>
      </c>
      <c r="AR3" s="32" t="n">
        <v>41</v>
      </c>
      <c r="AS3" s="32" t="n">
        <v>42</v>
      </c>
      <c r="AT3" s="32" t="n">
        <v>43</v>
      </c>
      <c r="AU3" s="32" t="n">
        <v>44</v>
      </c>
      <c r="AV3" s="32" t="n">
        <v>45</v>
      </c>
      <c r="AW3" s="32" t="n">
        <v>46</v>
      </c>
      <c r="AX3" s="32" t="n">
        <v>47</v>
      </c>
      <c r="AY3" s="32" t="n">
        <v>48</v>
      </c>
      <c r="AZ3" s="32" t="n">
        <v>49</v>
      </c>
      <c r="BA3" s="32" t="n">
        <v>50</v>
      </c>
      <c r="BB3" s="32" t="n">
        <v>51</v>
      </c>
      <c r="BC3" s="32" t="n">
        <v>52</v>
      </c>
      <c r="BD3" s="32" t="n">
        <v>53</v>
      </c>
      <c r="BE3" s="32" t="n">
        <v>54</v>
      </c>
      <c r="BF3" s="32" t="n">
        <v>55</v>
      </c>
      <c r="BG3" s="32" t="n">
        <v>56</v>
      </c>
      <c r="BH3" s="32" t="n">
        <v>57</v>
      </c>
      <c r="BI3" s="32" t="n">
        <v>58</v>
      </c>
      <c r="BJ3" s="32" t="n">
        <v>59</v>
      </c>
      <c r="BK3" s="32" t="n">
        <v>60</v>
      </c>
      <c r="BL3" s="32" t="n">
        <v>61</v>
      </c>
      <c r="BM3" s="32" t="n">
        <v>62</v>
      </c>
      <c r="BN3" s="32" t="n">
        <v>63</v>
      </c>
      <c r="BO3" s="32" t="n">
        <v>64</v>
      </c>
      <c r="BP3" s="32" t="n">
        <v>65</v>
      </c>
      <c r="BQ3" s="32" t="n">
        <v>66</v>
      </c>
      <c r="BR3" s="32" t="n">
        <v>67</v>
      </c>
      <c r="BS3" s="32" t="n">
        <v>68</v>
      </c>
      <c r="BT3" s="32" t="n">
        <v>69</v>
      </c>
      <c r="BU3" s="32" t="n">
        <v>70</v>
      </c>
      <c r="BV3" s="32" t="n">
        <v>71</v>
      </c>
      <c r="BW3" s="32" t="n">
        <v>72</v>
      </c>
      <c r="BX3" s="32" t="n">
        <v>73</v>
      </c>
      <c r="BY3" s="32" t="n">
        <v>74</v>
      </c>
      <c r="BZ3" s="32" t="n">
        <v>75</v>
      </c>
      <c r="CA3" s="32" t="n">
        <v>76</v>
      </c>
      <c r="CB3" s="32" t="n">
        <v>77</v>
      </c>
      <c r="CC3" s="32" t="n">
        <v>78</v>
      </c>
      <c r="CD3" s="32" t="n">
        <v>79</v>
      </c>
      <c r="CE3" s="32" t="n">
        <v>80</v>
      </c>
      <c r="CF3" s="32" t="n">
        <v>81</v>
      </c>
      <c r="CG3" s="32" t="n">
        <v>82</v>
      </c>
      <c r="CH3" s="32" t="n">
        <v>83</v>
      </c>
      <c r="CI3" s="32" t="n">
        <v>84</v>
      </c>
      <c r="CJ3" s="32" t="n">
        <v>85</v>
      </c>
      <c r="CK3" s="32" t="n">
        <v>86</v>
      </c>
      <c r="CL3" s="32" t="n">
        <v>87</v>
      </c>
      <c r="CM3" s="32" t="n">
        <v>88</v>
      </c>
      <c r="CN3" s="32" t="n">
        <v>89</v>
      </c>
      <c r="CO3" s="32" t="n">
        <v>90</v>
      </c>
      <c r="CP3" s="32" t="n">
        <v>91</v>
      </c>
      <c r="CQ3" s="32" t="n">
        <v>92</v>
      </c>
      <c r="CR3" s="32" t="n">
        <v>93</v>
      </c>
      <c r="CS3" s="32" t="n">
        <v>94</v>
      </c>
      <c r="CT3" s="32" t="n">
        <v>95</v>
      </c>
      <c r="CU3" s="32" t="n">
        <v>96</v>
      </c>
      <c r="CV3" s="32" t="n">
        <v>97</v>
      </c>
      <c r="CW3" s="32" t="n">
        <v>98</v>
      </c>
      <c r="CX3" s="32" t="n">
        <v>99</v>
      </c>
      <c r="CY3" s="32" t="n">
        <v>100</v>
      </c>
      <c r="CZ3" s="32" t="n">
        <v>101</v>
      </c>
      <c r="DA3" s="32" t="n">
        <v>102</v>
      </c>
      <c r="DB3" s="32" t="n">
        <v>103</v>
      </c>
      <c r="DC3" s="32" t="n">
        <v>104</v>
      </c>
      <c r="DD3" s="32" t="n">
        <v>105</v>
      </c>
      <c r="DE3" s="32" t="n">
        <v>106</v>
      </c>
      <c r="DF3" s="32" t="n">
        <v>107</v>
      </c>
      <c r="DG3" s="32" t="n">
        <v>108</v>
      </c>
      <c r="DH3" s="32" t="n">
        <v>109</v>
      </c>
      <c r="DI3" s="32" t="n">
        <v>110</v>
      </c>
      <c r="DJ3" s="32" t="n">
        <v>111</v>
      </c>
      <c r="DK3" s="32" t="n">
        <v>112</v>
      </c>
      <c r="DL3" s="32" t="n">
        <v>113</v>
      </c>
      <c r="DM3" s="32" t="n">
        <v>114</v>
      </c>
      <c r="DN3" s="32" t="n">
        <v>115</v>
      </c>
      <c r="DO3" s="32" t="n">
        <v>116</v>
      </c>
      <c r="DP3" s="32" t="n">
        <v>117</v>
      </c>
      <c r="DQ3" s="32" t="n">
        <v>118</v>
      </c>
      <c r="DR3" s="32" t="n">
        <v>119</v>
      </c>
      <c r="DS3" s="32" t="n">
        <v>120</v>
      </c>
    </row>
    <row r="4">
      <c r="B4" s="3" t="inlineStr">
        <is>
          <t>Farm year</t>
        </is>
      </c>
      <c r="D4" s="33">
        <f>INT((D$3-1)/12)+1</f>
        <v/>
      </c>
      <c r="E4" s="33">
        <f>INT((E$3-1)/12)+1</f>
        <v/>
      </c>
      <c r="F4" s="33">
        <f>INT((F$3-1)/12)+1</f>
        <v/>
      </c>
      <c r="G4" s="33">
        <f>INT((G$3-1)/12)+1</f>
        <v/>
      </c>
      <c r="H4" s="33">
        <f>INT((H$3-1)/12)+1</f>
        <v/>
      </c>
      <c r="I4" s="33">
        <f>INT((I$3-1)/12)+1</f>
        <v/>
      </c>
      <c r="J4" s="33">
        <f>INT((J$3-1)/12)+1</f>
        <v/>
      </c>
      <c r="K4" s="33">
        <f>INT((K$3-1)/12)+1</f>
        <v/>
      </c>
      <c r="L4" s="33">
        <f>INT((L$3-1)/12)+1</f>
        <v/>
      </c>
      <c r="M4" s="33">
        <f>INT((M$3-1)/12)+1</f>
        <v/>
      </c>
      <c r="N4" s="33">
        <f>INT((N$3-1)/12)+1</f>
        <v/>
      </c>
      <c r="O4" s="33">
        <f>INT((O$3-1)/12)+1</f>
        <v/>
      </c>
      <c r="P4" s="33">
        <f>INT((P$3-1)/12)+1</f>
        <v/>
      </c>
      <c r="Q4" s="33">
        <f>INT((Q$3-1)/12)+1</f>
        <v/>
      </c>
      <c r="R4" s="33">
        <f>INT((R$3-1)/12)+1</f>
        <v/>
      </c>
      <c r="S4" s="33">
        <f>INT((S$3-1)/12)+1</f>
        <v/>
      </c>
      <c r="T4" s="33">
        <f>INT((T$3-1)/12)+1</f>
        <v/>
      </c>
      <c r="U4" s="33">
        <f>INT((U$3-1)/12)+1</f>
        <v/>
      </c>
      <c r="V4" s="33">
        <f>INT((V$3-1)/12)+1</f>
        <v/>
      </c>
      <c r="W4" s="33">
        <f>INT((W$3-1)/12)+1</f>
        <v/>
      </c>
      <c r="X4" s="33">
        <f>INT((X$3-1)/12)+1</f>
        <v/>
      </c>
      <c r="Y4" s="33">
        <f>INT((Y$3-1)/12)+1</f>
        <v/>
      </c>
      <c r="Z4" s="33">
        <f>INT((Z$3-1)/12)+1</f>
        <v/>
      </c>
      <c r="AA4" s="33">
        <f>INT((AA$3-1)/12)+1</f>
        <v/>
      </c>
      <c r="AB4" s="33">
        <f>INT((AB$3-1)/12)+1</f>
        <v/>
      </c>
      <c r="AC4" s="33">
        <f>INT((AC$3-1)/12)+1</f>
        <v/>
      </c>
      <c r="AD4" s="33">
        <f>INT((AD$3-1)/12)+1</f>
        <v/>
      </c>
      <c r="AE4" s="33">
        <f>INT((AE$3-1)/12)+1</f>
        <v/>
      </c>
      <c r="AF4" s="33">
        <f>INT((AF$3-1)/12)+1</f>
        <v/>
      </c>
      <c r="AG4" s="33">
        <f>INT((AG$3-1)/12)+1</f>
        <v/>
      </c>
      <c r="AH4" s="33">
        <f>INT((AH$3-1)/12)+1</f>
        <v/>
      </c>
      <c r="AI4" s="33">
        <f>INT((AI$3-1)/12)+1</f>
        <v/>
      </c>
      <c r="AJ4" s="33">
        <f>INT((AJ$3-1)/12)+1</f>
        <v/>
      </c>
      <c r="AK4" s="33">
        <f>INT((AK$3-1)/12)+1</f>
        <v/>
      </c>
      <c r="AL4" s="33">
        <f>INT((AL$3-1)/12)+1</f>
        <v/>
      </c>
      <c r="AM4" s="33">
        <f>INT((AM$3-1)/12)+1</f>
        <v/>
      </c>
      <c r="AN4" s="33">
        <f>INT((AN$3-1)/12)+1</f>
        <v/>
      </c>
      <c r="AO4" s="33">
        <f>INT((AO$3-1)/12)+1</f>
        <v/>
      </c>
      <c r="AP4" s="33">
        <f>INT((AP$3-1)/12)+1</f>
        <v/>
      </c>
      <c r="AQ4" s="33">
        <f>INT((AQ$3-1)/12)+1</f>
        <v/>
      </c>
      <c r="AR4" s="33">
        <f>INT((AR$3-1)/12)+1</f>
        <v/>
      </c>
      <c r="AS4" s="33">
        <f>INT((AS$3-1)/12)+1</f>
        <v/>
      </c>
      <c r="AT4" s="33">
        <f>INT((AT$3-1)/12)+1</f>
        <v/>
      </c>
      <c r="AU4" s="33">
        <f>INT((AU$3-1)/12)+1</f>
        <v/>
      </c>
      <c r="AV4" s="33">
        <f>INT((AV$3-1)/12)+1</f>
        <v/>
      </c>
      <c r="AW4" s="33">
        <f>INT((AW$3-1)/12)+1</f>
        <v/>
      </c>
      <c r="AX4" s="33">
        <f>INT((AX$3-1)/12)+1</f>
        <v/>
      </c>
      <c r="AY4" s="33">
        <f>INT((AY$3-1)/12)+1</f>
        <v/>
      </c>
      <c r="AZ4" s="33">
        <f>INT((AZ$3-1)/12)+1</f>
        <v/>
      </c>
      <c r="BA4" s="33">
        <f>INT((BA$3-1)/12)+1</f>
        <v/>
      </c>
      <c r="BB4" s="33">
        <f>INT((BB$3-1)/12)+1</f>
        <v/>
      </c>
      <c r="BC4" s="33">
        <f>INT((BC$3-1)/12)+1</f>
        <v/>
      </c>
      <c r="BD4" s="33">
        <f>INT((BD$3-1)/12)+1</f>
        <v/>
      </c>
      <c r="BE4" s="33">
        <f>INT((BE$3-1)/12)+1</f>
        <v/>
      </c>
      <c r="BF4" s="33">
        <f>INT((BF$3-1)/12)+1</f>
        <v/>
      </c>
      <c r="BG4" s="33">
        <f>INT((BG$3-1)/12)+1</f>
        <v/>
      </c>
      <c r="BH4" s="33">
        <f>INT((BH$3-1)/12)+1</f>
        <v/>
      </c>
      <c r="BI4" s="33">
        <f>INT((BI$3-1)/12)+1</f>
        <v/>
      </c>
      <c r="BJ4" s="33">
        <f>INT((BJ$3-1)/12)+1</f>
        <v/>
      </c>
      <c r="BK4" s="33">
        <f>INT((BK$3-1)/12)+1</f>
        <v/>
      </c>
      <c r="BL4" s="33">
        <f>INT((BL$3-1)/12)+1</f>
        <v/>
      </c>
      <c r="BM4" s="33">
        <f>INT((BM$3-1)/12)+1</f>
        <v/>
      </c>
      <c r="BN4" s="33">
        <f>INT((BN$3-1)/12)+1</f>
        <v/>
      </c>
      <c r="BO4" s="33">
        <f>INT((BO$3-1)/12)+1</f>
        <v/>
      </c>
      <c r="BP4" s="33">
        <f>INT((BP$3-1)/12)+1</f>
        <v/>
      </c>
      <c r="BQ4" s="33">
        <f>INT((BQ$3-1)/12)+1</f>
        <v/>
      </c>
      <c r="BR4" s="33">
        <f>INT((BR$3-1)/12)+1</f>
        <v/>
      </c>
      <c r="BS4" s="33">
        <f>INT((BS$3-1)/12)+1</f>
        <v/>
      </c>
      <c r="BT4" s="33">
        <f>INT((BT$3-1)/12)+1</f>
        <v/>
      </c>
      <c r="BU4" s="33">
        <f>INT((BU$3-1)/12)+1</f>
        <v/>
      </c>
      <c r="BV4" s="33">
        <f>INT((BV$3-1)/12)+1</f>
        <v/>
      </c>
      <c r="BW4" s="33">
        <f>INT((BW$3-1)/12)+1</f>
        <v/>
      </c>
      <c r="BX4" s="33">
        <f>INT((BX$3-1)/12)+1</f>
        <v/>
      </c>
      <c r="BY4" s="33">
        <f>INT((BY$3-1)/12)+1</f>
        <v/>
      </c>
      <c r="BZ4" s="33">
        <f>INT((BZ$3-1)/12)+1</f>
        <v/>
      </c>
      <c r="CA4" s="33">
        <f>INT((CA$3-1)/12)+1</f>
        <v/>
      </c>
      <c r="CB4" s="33">
        <f>INT((CB$3-1)/12)+1</f>
        <v/>
      </c>
      <c r="CC4" s="33">
        <f>INT((CC$3-1)/12)+1</f>
        <v/>
      </c>
      <c r="CD4" s="33">
        <f>INT((CD$3-1)/12)+1</f>
        <v/>
      </c>
      <c r="CE4" s="33">
        <f>INT((CE$3-1)/12)+1</f>
        <v/>
      </c>
      <c r="CF4" s="33">
        <f>INT((CF$3-1)/12)+1</f>
        <v/>
      </c>
      <c r="CG4" s="33">
        <f>INT((CG$3-1)/12)+1</f>
        <v/>
      </c>
      <c r="CH4" s="33">
        <f>INT((CH$3-1)/12)+1</f>
        <v/>
      </c>
      <c r="CI4" s="33">
        <f>INT((CI$3-1)/12)+1</f>
        <v/>
      </c>
      <c r="CJ4" s="33">
        <f>INT((CJ$3-1)/12)+1</f>
        <v/>
      </c>
      <c r="CK4" s="33">
        <f>INT((CK$3-1)/12)+1</f>
        <v/>
      </c>
      <c r="CL4" s="33">
        <f>INT((CL$3-1)/12)+1</f>
        <v/>
      </c>
      <c r="CM4" s="33">
        <f>INT((CM$3-1)/12)+1</f>
        <v/>
      </c>
      <c r="CN4" s="33">
        <f>INT((CN$3-1)/12)+1</f>
        <v/>
      </c>
      <c r="CO4" s="33">
        <f>INT((CO$3-1)/12)+1</f>
        <v/>
      </c>
      <c r="CP4" s="33">
        <f>INT((CP$3-1)/12)+1</f>
        <v/>
      </c>
      <c r="CQ4" s="33">
        <f>INT((CQ$3-1)/12)+1</f>
        <v/>
      </c>
      <c r="CR4" s="33">
        <f>INT((CR$3-1)/12)+1</f>
        <v/>
      </c>
      <c r="CS4" s="33">
        <f>INT((CS$3-1)/12)+1</f>
        <v/>
      </c>
      <c r="CT4" s="33">
        <f>INT((CT$3-1)/12)+1</f>
        <v/>
      </c>
      <c r="CU4" s="33">
        <f>INT((CU$3-1)/12)+1</f>
        <v/>
      </c>
      <c r="CV4" s="33">
        <f>INT((CV$3-1)/12)+1</f>
        <v/>
      </c>
      <c r="CW4" s="33">
        <f>INT((CW$3-1)/12)+1</f>
        <v/>
      </c>
      <c r="CX4" s="33">
        <f>INT((CX$3-1)/12)+1</f>
        <v/>
      </c>
      <c r="CY4" s="33">
        <f>INT((CY$3-1)/12)+1</f>
        <v/>
      </c>
      <c r="CZ4" s="33">
        <f>INT((CZ$3-1)/12)+1</f>
        <v/>
      </c>
      <c r="DA4" s="33">
        <f>INT((DA$3-1)/12)+1</f>
        <v/>
      </c>
      <c r="DB4" s="33">
        <f>INT((DB$3-1)/12)+1</f>
        <v/>
      </c>
      <c r="DC4" s="33">
        <f>INT((DC$3-1)/12)+1</f>
        <v/>
      </c>
      <c r="DD4" s="33">
        <f>INT((DD$3-1)/12)+1</f>
        <v/>
      </c>
      <c r="DE4" s="33">
        <f>INT((DE$3-1)/12)+1</f>
        <v/>
      </c>
      <c r="DF4" s="33">
        <f>INT((DF$3-1)/12)+1</f>
        <v/>
      </c>
      <c r="DG4" s="33">
        <f>INT((DG$3-1)/12)+1</f>
        <v/>
      </c>
      <c r="DH4" s="33">
        <f>INT((DH$3-1)/12)+1</f>
        <v/>
      </c>
      <c r="DI4" s="33">
        <f>INT((DI$3-1)/12)+1</f>
        <v/>
      </c>
      <c r="DJ4" s="33">
        <f>INT((DJ$3-1)/12)+1</f>
        <v/>
      </c>
      <c r="DK4" s="33">
        <f>INT((DK$3-1)/12)+1</f>
        <v/>
      </c>
      <c r="DL4" s="33">
        <f>INT((DL$3-1)/12)+1</f>
        <v/>
      </c>
      <c r="DM4" s="33">
        <f>INT((DM$3-1)/12)+1</f>
        <v/>
      </c>
      <c r="DN4" s="33">
        <f>INT((DN$3-1)/12)+1</f>
        <v/>
      </c>
      <c r="DO4" s="33">
        <f>INT((DO$3-1)/12)+1</f>
        <v/>
      </c>
      <c r="DP4" s="33">
        <f>INT((DP$3-1)/12)+1</f>
        <v/>
      </c>
      <c r="DQ4" s="33">
        <f>INT((DQ$3-1)/12)+1</f>
        <v/>
      </c>
      <c r="DR4" s="33">
        <f>INT((DR$3-1)/12)+1</f>
        <v/>
      </c>
      <c r="DS4" s="33">
        <f>INT((DS$3-1)/12)+1</f>
        <v/>
      </c>
    </row>
    <row r="5">
      <c r="B5" s="3" t="inlineStr">
        <is>
          <t>Calendar month</t>
        </is>
      </c>
      <c r="D5" s="28">
        <f>MOD(Control!$C$10+D$3-2,12)+1</f>
        <v/>
      </c>
      <c r="E5" s="28">
        <f>MOD(Control!$C$10+E$3-2,12)+1</f>
        <v/>
      </c>
      <c r="F5" s="28">
        <f>MOD(Control!$C$10+F$3-2,12)+1</f>
        <v/>
      </c>
      <c r="G5" s="28">
        <f>MOD(Control!$C$10+G$3-2,12)+1</f>
        <v/>
      </c>
      <c r="H5" s="28">
        <f>MOD(Control!$C$10+H$3-2,12)+1</f>
        <v/>
      </c>
      <c r="I5" s="28">
        <f>MOD(Control!$C$10+I$3-2,12)+1</f>
        <v/>
      </c>
      <c r="J5" s="28">
        <f>MOD(Control!$C$10+J$3-2,12)+1</f>
        <v/>
      </c>
      <c r="K5" s="28">
        <f>MOD(Control!$C$10+K$3-2,12)+1</f>
        <v/>
      </c>
      <c r="L5" s="28">
        <f>MOD(Control!$C$10+L$3-2,12)+1</f>
        <v/>
      </c>
      <c r="M5" s="28">
        <f>MOD(Control!$C$10+M$3-2,12)+1</f>
        <v/>
      </c>
      <c r="N5" s="28">
        <f>MOD(Control!$C$10+N$3-2,12)+1</f>
        <v/>
      </c>
      <c r="O5" s="28">
        <f>MOD(Control!$C$10+O$3-2,12)+1</f>
        <v/>
      </c>
      <c r="P5" s="28">
        <f>MOD(Control!$C$10+P$3-2,12)+1</f>
        <v/>
      </c>
      <c r="Q5" s="28">
        <f>MOD(Control!$C$10+Q$3-2,12)+1</f>
        <v/>
      </c>
      <c r="R5" s="28">
        <f>MOD(Control!$C$10+R$3-2,12)+1</f>
        <v/>
      </c>
      <c r="S5" s="28">
        <f>MOD(Control!$C$10+S$3-2,12)+1</f>
        <v/>
      </c>
      <c r="T5" s="28">
        <f>MOD(Control!$C$10+T$3-2,12)+1</f>
        <v/>
      </c>
      <c r="U5" s="28">
        <f>MOD(Control!$C$10+U$3-2,12)+1</f>
        <v/>
      </c>
      <c r="V5" s="28">
        <f>MOD(Control!$C$10+V$3-2,12)+1</f>
        <v/>
      </c>
      <c r="W5" s="28">
        <f>MOD(Control!$C$10+W$3-2,12)+1</f>
        <v/>
      </c>
      <c r="X5" s="28">
        <f>MOD(Control!$C$10+X$3-2,12)+1</f>
        <v/>
      </c>
      <c r="Y5" s="28">
        <f>MOD(Control!$C$10+Y$3-2,12)+1</f>
        <v/>
      </c>
      <c r="Z5" s="28">
        <f>MOD(Control!$C$10+Z$3-2,12)+1</f>
        <v/>
      </c>
      <c r="AA5" s="28">
        <f>MOD(Control!$C$10+AA$3-2,12)+1</f>
        <v/>
      </c>
      <c r="AB5" s="28">
        <f>MOD(Control!$C$10+AB$3-2,12)+1</f>
        <v/>
      </c>
      <c r="AC5" s="28">
        <f>MOD(Control!$C$10+AC$3-2,12)+1</f>
        <v/>
      </c>
      <c r="AD5" s="28">
        <f>MOD(Control!$C$10+AD$3-2,12)+1</f>
        <v/>
      </c>
      <c r="AE5" s="28">
        <f>MOD(Control!$C$10+AE$3-2,12)+1</f>
        <v/>
      </c>
      <c r="AF5" s="28">
        <f>MOD(Control!$C$10+AF$3-2,12)+1</f>
        <v/>
      </c>
      <c r="AG5" s="28">
        <f>MOD(Control!$C$10+AG$3-2,12)+1</f>
        <v/>
      </c>
      <c r="AH5" s="28">
        <f>MOD(Control!$C$10+AH$3-2,12)+1</f>
        <v/>
      </c>
      <c r="AI5" s="28">
        <f>MOD(Control!$C$10+AI$3-2,12)+1</f>
        <v/>
      </c>
      <c r="AJ5" s="28">
        <f>MOD(Control!$C$10+AJ$3-2,12)+1</f>
        <v/>
      </c>
      <c r="AK5" s="28">
        <f>MOD(Control!$C$10+AK$3-2,12)+1</f>
        <v/>
      </c>
      <c r="AL5" s="28">
        <f>MOD(Control!$C$10+AL$3-2,12)+1</f>
        <v/>
      </c>
      <c r="AM5" s="28">
        <f>MOD(Control!$C$10+AM$3-2,12)+1</f>
        <v/>
      </c>
      <c r="AN5" s="28">
        <f>MOD(Control!$C$10+AN$3-2,12)+1</f>
        <v/>
      </c>
      <c r="AO5" s="28">
        <f>MOD(Control!$C$10+AO$3-2,12)+1</f>
        <v/>
      </c>
      <c r="AP5" s="28">
        <f>MOD(Control!$C$10+AP$3-2,12)+1</f>
        <v/>
      </c>
      <c r="AQ5" s="28">
        <f>MOD(Control!$C$10+AQ$3-2,12)+1</f>
        <v/>
      </c>
      <c r="AR5" s="28">
        <f>MOD(Control!$C$10+AR$3-2,12)+1</f>
        <v/>
      </c>
      <c r="AS5" s="28">
        <f>MOD(Control!$C$10+AS$3-2,12)+1</f>
        <v/>
      </c>
      <c r="AT5" s="28">
        <f>MOD(Control!$C$10+AT$3-2,12)+1</f>
        <v/>
      </c>
      <c r="AU5" s="28">
        <f>MOD(Control!$C$10+AU$3-2,12)+1</f>
        <v/>
      </c>
      <c r="AV5" s="28">
        <f>MOD(Control!$C$10+AV$3-2,12)+1</f>
        <v/>
      </c>
      <c r="AW5" s="28">
        <f>MOD(Control!$C$10+AW$3-2,12)+1</f>
        <v/>
      </c>
      <c r="AX5" s="28">
        <f>MOD(Control!$C$10+AX$3-2,12)+1</f>
        <v/>
      </c>
      <c r="AY5" s="28">
        <f>MOD(Control!$C$10+AY$3-2,12)+1</f>
        <v/>
      </c>
      <c r="AZ5" s="28">
        <f>MOD(Control!$C$10+AZ$3-2,12)+1</f>
        <v/>
      </c>
      <c r="BA5" s="28">
        <f>MOD(Control!$C$10+BA$3-2,12)+1</f>
        <v/>
      </c>
      <c r="BB5" s="28">
        <f>MOD(Control!$C$10+BB$3-2,12)+1</f>
        <v/>
      </c>
      <c r="BC5" s="28">
        <f>MOD(Control!$C$10+BC$3-2,12)+1</f>
        <v/>
      </c>
      <c r="BD5" s="28">
        <f>MOD(Control!$C$10+BD$3-2,12)+1</f>
        <v/>
      </c>
      <c r="BE5" s="28">
        <f>MOD(Control!$C$10+BE$3-2,12)+1</f>
        <v/>
      </c>
      <c r="BF5" s="28">
        <f>MOD(Control!$C$10+BF$3-2,12)+1</f>
        <v/>
      </c>
      <c r="BG5" s="28">
        <f>MOD(Control!$C$10+BG$3-2,12)+1</f>
        <v/>
      </c>
      <c r="BH5" s="28">
        <f>MOD(Control!$C$10+BH$3-2,12)+1</f>
        <v/>
      </c>
      <c r="BI5" s="28">
        <f>MOD(Control!$C$10+BI$3-2,12)+1</f>
        <v/>
      </c>
      <c r="BJ5" s="28">
        <f>MOD(Control!$C$10+BJ$3-2,12)+1</f>
        <v/>
      </c>
      <c r="BK5" s="28">
        <f>MOD(Control!$C$10+BK$3-2,12)+1</f>
        <v/>
      </c>
      <c r="BL5" s="28">
        <f>MOD(Control!$C$10+BL$3-2,12)+1</f>
        <v/>
      </c>
      <c r="BM5" s="28">
        <f>MOD(Control!$C$10+BM$3-2,12)+1</f>
        <v/>
      </c>
      <c r="BN5" s="28">
        <f>MOD(Control!$C$10+BN$3-2,12)+1</f>
        <v/>
      </c>
      <c r="BO5" s="28">
        <f>MOD(Control!$C$10+BO$3-2,12)+1</f>
        <v/>
      </c>
      <c r="BP5" s="28">
        <f>MOD(Control!$C$10+BP$3-2,12)+1</f>
        <v/>
      </c>
      <c r="BQ5" s="28">
        <f>MOD(Control!$C$10+BQ$3-2,12)+1</f>
        <v/>
      </c>
      <c r="BR5" s="28">
        <f>MOD(Control!$C$10+BR$3-2,12)+1</f>
        <v/>
      </c>
      <c r="BS5" s="28">
        <f>MOD(Control!$C$10+BS$3-2,12)+1</f>
        <v/>
      </c>
      <c r="BT5" s="28">
        <f>MOD(Control!$C$10+BT$3-2,12)+1</f>
        <v/>
      </c>
      <c r="BU5" s="28">
        <f>MOD(Control!$C$10+BU$3-2,12)+1</f>
        <v/>
      </c>
      <c r="BV5" s="28">
        <f>MOD(Control!$C$10+BV$3-2,12)+1</f>
        <v/>
      </c>
      <c r="BW5" s="28">
        <f>MOD(Control!$C$10+BW$3-2,12)+1</f>
        <v/>
      </c>
      <c r="BX5" s="28">
        <f>MOD(Control!$C$10+BX$3-2,12)+1</f>
        <v/>
      </c>
      <c r="BY5" s="28">
        <f>MOD(Control!$C$10+BY$3-2,12)+1</f>
        <v/>
      </c>
      <c r="BZ5" s="28">
        <f>MOD(Control!$C$10+BZ$3-2,12)+1</f>
        <v/>
      </c>
      <c r="CA5" s="28">
        <f>MOD(Control!$C$10+CA$3-2,12)+1</f>
        <v/>
      </c>
      <c r="CB5" s="28">
        <f>MOD(Control!$C$10+CB$3-2,12)+1</f>
        <v/>
      </c>
      <c r="CC5" s="28">
        <f>MOD(Control!$C$10+CC$3-2,12)+1</f>
        <v/>
      </c>
      <c r="CD5" s="28">
        <f>MOD(Control!$C$10+CD$3-2,12)+1</f>
        <v/>
      </c>
      <c r="CE5" s="28">
        <f>MOD(Control!$C$10+CE$3-2,12)+1</f>
        <v/>
      </c>
      <c r="CF5" s="28">
        <f>MOD(Control!$C$10+CF$3-2,12)+1</f>
        <v/>
      </c>
      <c r="CG5" s="28">
        <f>MOD(Control!$C$10+CG$3-2,12)+1</f>
        <v/>
      </c>
      <c r="CH5" s="28">
        <f>MOD(Control!$C$10+CH$3-2,12)+1</f>
        <v/>
      </c>
      <c r="CI5" s="28">
        <f>MOD(Control!$C$10+CI$3-2,12)+1</f>
        <v/>
      </c>
      <c r="CJ5" s="28">
        <f>MOD(Control!$C$10+CJ$3-2,12)+1</f>
        <v/>
      </c>
      <c r="CK5" s="28">
        <f>MOD(Control!$C$10+CK$3-2,12)+1</f>
        <v/>
      </c>
      <c r="CL5" s="28">
        <f>MOD(Control!$C$10+CL$3-2,12)+1</f>
        <v/>
      </c>
      <c r="CM5" s="28">
        <f>MOD(Control!$C$10+CM$3-2,12)+1</f>
        <v/>
      </c>
      <c r="CN5" s="28">
        <f>MOD(Control!$C$10+CN$3-2,12)+1</f>
        <v/>
      </c>
      <c r="CO5" s="28">
        <f>MOD(Control!$C$10+CO$3-2,12)+1</f>
        <v/>
      </c>
      <c r="CP5" s="28">
        <f>MOD(Control!$C$10+CP$3-2,12)+1</f>
        <v/>
      </c>
      <c r="CQ5" s="28">
        <f>MOD(Control!$C$10+CQ$3-2,12)+1</f>
        <v/>
      </c>
      <c r="CR5" s="28">
        <f>MOD(Control!$C$10+CR$3-2,12)+1</f>
        <v/>
      </c>
      <c r="CS5" s="28">
        <f>MOD(Control!$C$10+CS$3-2,12)+1</f>
        <v/>
      </c>
      <c r="CT5" s="28">
        <f>MOD(Control!$C$10+CT$3-2,12)+1</f>
        <v/>
      </c>
      <c r="CU5" s="28">
        <f>MOD(Control!$C$10+CU$3-2,12)+1</f>
        <v/>
      </c>
      <c r="CV5" s="28">
        <f>MOD(Control!$C$10+CV$3-2,12)+1</f>
        <v/>
      </c>
      <c r="CW5" s="28">
        <f>MOD(Control!$C$10+CW$3-2,12)+1</f>
        <v/>
      </c>
      <c r="CX5" s="28">
        <f>MOD(Control!$C$10+CX$3-2,12)+1</f>
        <v/>
      </c>
      <c r="CY5" s="28">
        <f>MOD(Control!$C$10+CY$3-2,12)+1</f>
        <v/>
      </c>
      <c r="CZ5" s="28">
        <f>MOD(Control!$C$10+CZ$3-2,12)+1</f>
        <v/>
      </c>
      <c r="DA5" s="28">
        <f>MOD(Control!$C$10+DA$3-2,12)+1</f>
        <v/>
      </c>
      <c r="DB5" s="28">
        <f>MOD(Control!$C$10+DB$3-2,12)+1</f>
        <v/>
      </c>
      <c r="DC5" s="28">
        <f>MOD(Control!$C$10+DC$3-2,12)+1</f>
        <v/>
      </c>
      <c r="DD5" s="28">
        <f>MOD(Control!$C$10+DD$3-2,12)+1</f>
        <v/>
      </c>
      <c r="DE5" s="28">
        <f>MOD(Control!$C$10+DE$3-2,12)+1</f>
        <v/>
      </c>
      <c r="DF5" s="28">
        <f>MOD(Control!$C$10+DF$3-2,12)+1</f>
        <v/>
      </c>
      <c r="DG5" s="28">
        <f>MOD(Control!$C$10+DG$3-2,12)+1</f>
        <v/>
      </c>
      <c r="DH5" s="28">
        <f>MOD(Control!$C$10+DH$3-2,12)+1</f>
        <v/>
      </c>
      <c r="DI5" s="28">
        <f>MOD(Control!$C$10+DI$3-2,12)+1</f>
        <v/>
      </c>
      <c r="DJ5" s="28">
        <f>MOD(Control!$C$10+DJ$3-2,12)+1</f>
        <v/>
      </c>
      <c r="DK5" s="28">
        <f>MOD(Control!$C$10+DK$3-2,12)+1</f>
        <v/>
      </c>
      <c r="DL5" s="28">
        <f>MOD(Control!$C$10+DL$3-2,12)+1</f>
        <v/>
      </c>
      <c r="DM5" s="28">
        <f>MOD(Control!$C$10+DM$3-2,12)+1</f>
        <v/>
      </c>
      <c r="DN5" s="28">
        <f>MOD(Control!$C$10+DN$3-2,12)+1</f>
        <v/>
      </c>
      <c r="DO5" s="28">
        <f>MOD(Control!$C$10+DO$3-2,12)+1</f>
        <v/>
      </c>
      <c r="DP5" s="28">
        <f>MOD(Control!$C$10+DP$3-2,12)+1</f>
        <v/>
      </c>
      <c r="DQ5" s="28">
        <f>MOD(Control!$C$10+DQ$3-2,12)+1</f>
        <v/>
      </c>
      <c r="DR5" s="28">
        <f>MOD(Control!$C$10+DR$3-2,12)+1</f>
        <v/>
      </c>
      <c r="DS5" s="28">
        <f>MOD(Control!$C$10+DS$3-2,12)+1</f>
        <v/>
      </c>
    </row>
    <row r="6">
      <c r="B6" s="3" t="inlineStr">
        <is>
          <t>Month starting</t>
        </is>
      </c>
      <c r="D6" s="34">
        <f>DATE(Control!$C$9+INT((Control!$C$10+D$3-2)/12),D$5,1)</f>
        <v/>
      </c>
      <c r="E6" s="34">
        <f>DATE(Control!$C$9+INT((Control!$C$10+E$3-2)/12),E$5,1)</f>
        <v/>
      </c>
      <c r="F6" s="34">
        <f>DATE(Control!$C$9+INT((Control!$C$10+F$3-2)/12),F$5,1)</f>
        <v/>
      </c>
      <c r="G6" s="34">
        <f>DATE(Control!$C$9+INT((Control!$C$10+G$3-2)/12),G$5,1)</f>
        <v/>
      </c>
      <c r="H6" s="34">
        <f>DATE(Control!$C$9+INT((Control!$C$10+H$3-2)/12),H$5,1)</f>
        <v/>
      </c>
      <c r="I6" s="34">
        <f>DATE(Control!$C$9+INT((Control!$C$10+I$3-2)/12),I$5,1)</f>
        <v/>
      </c>
      <c r="J6" s="34">
        <f>DATE(Control!$C$9+INT((Control!$C$10+J$3-2)/12),J$5,1)</f>
        <v/>
      </c>
      <c r="K6" s="34">
        <f>DATE(Control!$C$9+INT((Control!$C$10+K$3-2)/12),K$5,1)</f>
        <v/>
      </c>
      <c r="L6" s="34">
        <f>DATE(Control!$C$9+INT((Control!$C$10+L$3-2)/12),L$5,1)</f>
        <v/>
      </c>
      <c r="M6" s="34">
        <f>DATE(Control!$C$9+INT((Control!$C$10+M$3-2)/12),M$5,1)</f>
        <v/>
      </c>
      <c r="N6" s="34">
        <f>DATE(Control!$C$9+INT((Control!$C$10+N$3-2)/12),N$5,1)</f>
        <v/>
      </c>
      <c r="O6" s="34">
        <f>DATE(Control!$C$9+INT((Control!$C$10+O$3-2)/12),O$5,1)</f>
        <v/>
      </c>
      <c r="P6" s="34">
        <f>DATE(Control!$C$9+INT((Control!$C$10+P$3-2)/12),P$5,1)</f>
        <v/>
      </c>
      <c r="Q6" s="34">
        <f>DATE(Control!$C$9+INT((Control!$C$10+Q$3-2)/12),Q$5,1)</f>
        <v/>
      </c>
      <c r="R6" s="34">
        <f>DATE(Control!$C$9+INT((Control!$C$10+R$3-2)/12),R$5,1)</f>
        <v/>
      </c>
      <c r="S6" s="34">
        <f>DATE(Control!$C$9+INT((Control!$C$10+S$3-2)/12),S$5,1)</f>
        <v/>
      </c>
      <c r="T6" s="34">
        <f>DATE(Control!$C$9+INT((Control!$C$10+T$3-2)/12),T$5,1)</f>
        <v/>
      </c>
      <c r="U6" s="34">
        <f>DATE(Control!$C$9+INT((Control!$C$10+U$3-2)/12),U$5,1)</f>
        <v/>
      </c>
      <c r="V6" s="34">
        <f>DATE(Control!$C$9+INT((Control!$C$10+V$3-2)/12),V$5,1)</f>
        <v/>
      </c>
      <c r="W6" s="34">
        <f>DATE(Control!$C$9+INT((Control!$C$10+W$3-2)/12),W$5,1)</f>
        <v/>
      </c>
      <c r="X6" s="34">
        <f>DATE(Control!$C$9+INT((Control!$C$10+X$3-2)/12),X$5,1)</f>
        <v/>
      </c>
      <c r="Y6" s="34">
        <f>DATE(Control!$C$9+INT((Control!$C$10+Y$3-2)/12),Y$5,1)</f>
        <v/>
      </c>
      <c r="Z6" s="34">
        <f>DATE(Control!$C$9+INT((Control!$C$10+Z$3-2)/12),Z$5,1)</f>
        <v/>
      </c>
      <c r="AA6" s="34">
        <f>DATE(Control!$C$9+INT((Control!$C$10+AA$3-2)/12),AA$5,1)</f>
        <v/>
      </c>
      <c r="AB6" s="34">
        <f>DATE(Control!$C$9+INT((Control!$C$10+AB$3-2)/12),AB$5,1)</f>
        <v/>
      </c>
      <c r="AC6" s="34">
        <f>DATE(Control!$C$9+INT((Control!$C$10+AC$3-2)/12),AC$5,1)</f>
        <v/>
      </c>
      <c r="AD6" s="34">
        <f>DATE(Control!$C$9+INT((Control!$C$10+AD$3-2)/12),AD$5,1)</f>
        <v/>
      </c>
      <c r="AE6" s="34">
        <f>DATE(Control!$C$9+INT((Control!$C$10+AE$3-2)/12),AE$5,1)</f>
        <v/>
      </c>
      <c r="AF6" s="34">
        <f>DATE(Control!$C$9+INT((Control!$C$10+AF$3-2)/12),AF$5,1)</f>
        <v/>
      </c>
      <c r="AG6" s="34">
        <f>DATE(Control!$C$9+INT((Control!$C$10+AG$3-2)/12),AG$5,1)</f>
        <v/>
      </c>
      <c r="AH6" s="34">
        <f>DATE(Control!$C$9+INT((Control!$C$10+AH$3-2)/12),AH$5,1)</f>
        <v/>
      </c>
      <c r="AI6" s="34">
        <f>DATE(Control!$C$9+INT((Control!$C$10+AI$3-2)/12),AI$5,1)</f>
        <v/>
      </c>
      <c r="AJ6" s="34">
        <f>DATE(Control!$C$9+INT((Control!$C$10+AJ$3-2)/12),AJ$5,1)</f>
        <v/>
      </c>
      <c r="AK6" s="34">
        <f>DATE(Control!$C$9+INT((Control!$C$10+AK$3-2)/12),AK$5,1)</f>
        <v/>
      </c>
      <c r="AL6" s="34">
        <f>DATE(Control!$C$9+INT((Control!$C$10+AL$3-2)/12),AL$5,1)</f>
        <v/>
      </c>
      <c r="AM6" s="34">
        <f>DATE(Control!$C$9+INT((Control!$C$10+AM$3-2)/12),AM$5,1)</f>
        <v/>
      </c>
      <c r="AN6" s="34">
        <f>DATE(Control!$C$9+INT((Control!$C$10+AN$3-2)/12),AN$5,1)</f>
        <v/>
      </c>
      <c r="AO6" s="34">
        <f>DATE(Control!$C$9+INT((Control!$C$10+AO$3-2)/12),AO$5,1)</f>
        <v/>
      </c>
      <c r="AP6" s="34">
        <f>DATE(Control!$C$9+INT((Control!$C$10+AP$3-2)/12),AP$5,1)</f>
        <v/>
      </c>
      <c r="AQ6" s="34">
        <f>DATE(Control!$C$9+INT((Control!$C$10+AQ$3-2)/12),AQ$5,1)</f>
        <v/>
      </c>
      <c r="AR6" s="34">
        <f>DATE(Control!$C$9+INT((Control!$C$10+AR$3-2)/12),AR$5,1)</f>
        <v/>
      </c>
      <c r="AS6" s="34">
        <f>DATE(Control!$C$9+INT((Control!$C$10+AS$3-2)/12),AS$5,1)</f>
        <v/>
      </c>
      <c r="AT6" s="34">
        <f>DATE(Control!$C$9+INT((Control!$C$10+AT$3-2)/12),AT$5,1)</f>
        <v/>
      </c>
      <c r="AU6" s="34">
        <f>DATE(Control!$C$9+INT((Control!$C$10+AU$3-2)/12),AU$5,1)</f>
        <v/>
      </c>
      <c r="AV6" s="34">
        <f>DATE(Control!$C$9+INT((Control!$C$10+AV$3-2)/12),AV$5,1)</f>
        <v/>
      </c>
      <c r="AW6" s="34">
        <f>DATE(Control!$C$9+INT((Control!$C$10+AW$3-2)/12),AW$5,1)</f>
        <v/>
      </c>
      <c r="AX6" s="34">
        <f>DATE(Control!$C$9+INT((Control!$C$10+AX$3-2)/12),AX$5,1)</f>
        <v/>
      </c>
      <c r="AY6" s="34">
        <f>DATE(Control!$C$9+INT((Control!$C$10+AY$3-2)/12),AY$5,1)</f>
        <v/>
      </c>
      <c r="AZ6" s="34">
        <f>DATE(Control!$C$9+INT((Control!$C$10+AZ$3-2)/12),AZ$5,1)</f>
        <v/>
      </c>
      <c r="BA6" s="34">
        <f>DATE(Control!$C$9+INT((Control!$C$10+BA$3-2)/12),BA$5,1)</f>
        <v/>
      </c>
      <c r="BB6" s="34">
        <f>DATE(Control!$C$9+INT((Control!$C$10+BB$3-2)/12),BB$5,1)</f>
        <v/>
      </c>
      <c r="BC6" s="34">
        <f>DATE(Control!$C$9+INT((Control!$C$10+BC$3-2)/12),BC$5,1)</f>
        <v/>
      </c>
      <c r="BD6" s="34">
        <f>DATE(Control!$C$9+INT((Control!$C$10+BD$3-2)/12),BD$5,1)</f>
        <v/>
      </c>
      <c r="BE6" s="34">
        <f>DATE(Control!$C$9+INT((Control!$C$10+BE$3-2)/12),BE$5,1)</f>
        <v/>
      </c>
      <c r="BF6" s="34">
        <f>DATE(Control!$C$9+INT((Control!$C$10+BF$3-2)/12),BF$5,1)</f>
        <v/>
      </c>
      <c r="BG6" s="34">
        <f>DATE(Control!$C$9+INT((Control!$C$10+BG$3-2)/12),BG$5,1)</f>
        <v/>
      </c>
      <c r="BH6" s="34">
        <f>DATE(Control!$C$9+INT((Control!$C$10+BH$3-2)/12),BH$5,1)</f>
        <v/>
      </c>
      <c r="BI6" s="34">
        <f>DATE(Control!$C$9+INT((Control!$C$10+BI$3-2)/12),BI$5,1)</f>
        <v/>
      </c>
      <c r="BJ6" s="34">
        <f>DATE(Control!$C$9+INT((Control!$C$10+BJ$3-2)/12),BJ$5,1)</f>
        <v/>
      </c>
      <c r="BK6" s="34">
        <f>DATE(Control!$C$9+INT((Control!$C$10+BK$3-2)/12),BK$5,1)</f>
        <v/>
      </c>
      <c r="BL6" s="34">
        <f>DATE(Control!$C$9+INT((Control!$C$10+BL$3-2)/12),BL$5,1)</f>
        <v/>
      </c>
      <c r="BM6" s="34">
        <f>DATE(Control!$C$9+INT((Control!$C$10+BM$3-2)/12),BM$5,1)</f>
        <v/>
      </c>
      <c r="BN6" s="34">
        <f>DATE(Control!$C$9+INT((Control!$C$10+BN$3-2)/12),BN$5,1)</f>
        <v/>
      </c>
      <c r="BO6" s="34">
        <f>DATE(Control!$C$9+INT((Control!$C$10+BO$3-2)/12),BO$5,1)</f>
        <v/>
      </c>
      <c r="BP6" s="34">
        <f>DATE(Control!$C$9+INT((Control!$C$10+BP$3-2)/12),BP$5,1)</f>
        <v/>
      </c>
      <c r="BQ6" s="34">
        <f>DATE(Control!$C$9+INT((Control!$C$10+BQ$3-2)/12),BQ$5,1)</f>
        <v/>
      </c>
      <c r="BR6" s="34">
        <f>DATE(Control!$C$9+INT((Control!$C$10+BR$3-2)/12),BR$5,1)</f>
        <v/>
      </c>
      <c r="BS6" s="34">
        <f>DATE(Control!$C$9+INT((Control!$C$10+BS$3-2)/12),BS$5,1)</f>
        <v/>
      </c>
      <c r="BT6" s="34">
        <f>DATE(Control!$C$9+INT((Control!$C$10+BT$3-2)/12),BT$5,1)</f>
        <v/>
      </c>
      <c r="BU6" s="34">
        <f>DATE(Control!$C$9+INT((Control!$C$10+BU$3-2)/12),BU$5,1)</f>
        <v/>
      </c>
      <c r="BV6" s="34">
        <f>DATE(Control!$C$9+INT((Control!$C$10+BV$3-2)/12),BV$5,1)</f>
        <v/>
      </c>
      <c r="BW6" s="34">
        <f>DATE(Control!$C$9+INT((Control!$C$10+BW$3-2)/12),BW$5,1)</f>
        <v/>
      </c>
      <c r="BX6" s="34">
        <f>DATE(Control!$C$9+INT((Control!$C$10+BX$3-2)/12),BX$5,1)</f>
        <v/>
      </c>
      <c r="BY6" s="34">
        <f>DATE(Control!$C$9+INT((Control!$C$10+BY$3-2)/12),BY$5,1)</f>
        <v/>
      </c>
      <c r="BZ6" s="34">
        <f>DATE(Control!$C$9+INT((Control!$C$10+BZ$3-2)/12),BZ$5,1)</f>
        <v/>
      </c>
      <c r="CA6" s="34">
        <f>DATE(Control!$C$9+INT((Control!$C$10+CA$3-2)/12),CA$5,1)</f>
        <v/>
      </c>
      <c r="CB6" s="34">
        <f>DATE(Control!$C$9+INT((Control!$C$10+CB$3-2)/12),CB$5,1)</f>
        <v/>
      </c>
      <c r="CC6" s="34">
        <f>DATE(Control!$C$9+INT((Control!$C$10+CC$3-2)/12),CC$5,1)</f>
        <v/>
      </c>
      <c r="CD6" s="34">
        <f>DATE(Control!$C$9+INT((Control!$C$10+CD$3-2)/12),CD$5,1)</f>
        <v/>
      </c>
      <c r="CE6" s="34">
        <f>DATE(Control!$C$9+INT((Control!$C$10+CE$3-2)/12),CE$5,1)</f>
        <v/>
      </c>
      <c r="CF6" s="34">
        <f>DATE(Control!$C$9+INT((Control!$C$10+CF$3-2)/12),CF$5,1)</f>
        <v/>
      </c>
      <c r="CG6" s="34">
        <f>DATE(Control!$C$9+INT((Control!$C$10+CG$3-2)/12),CG$5,1)</f>
        <v/>
      </c>
      <c r="CH6" s="34">
        <f>DATE(Control!$C$9+INT((Control!$C$10+CH$3-2)/12),CH$5,1)</f>
        <v/>
      </c>
      <c r="CI6" s="34">
        <f>DATE(Control!$C$9+INT((Control!$C$10+CI$3-2)/12),CI$5,1)</f>
        <v/>
      </c>
      <c r="CJ6" s="34">
        <f>DATE(Control!$C$9+INT((Control!$C$10+CJ$3-2)/12),CJ$5,1)</f>
        <v/>
      </c>
      <c r="CK6" s="34">
        <f>DATE(Control!$C$9+INT((Control!$C$10+CK$3-2)/12),CK$5,1)</f>
        <v/>
      </c>
      <c r="CL6" s="34">
        <f>DATE(Control!$C$9+INT((Control!$C$10+CL$3-2)/12),CL$5,1)</f>
        <v/>
      </c>
      <c r="CM6" s="34">
        <f>DATE(Control!$C$9+INT((Control!$C$10+CM$3-2)/12),CM$5,1)</f>
        <v/>
      </c>
      <c r="CN6" s="34">
        <f>DATE(Control!$C$9+INT((Control!$C$10+CN$3-2)/12),CN$5,1)</f>
        <v/>
      </c>
      <c r="CO6" s="34">
        <f>DATE(Control!$C$9+INT((Control!$C$10+CO$3-2)/12),CO$5,1)</f>
        <v/>
      </c>
      <c r="CP6" s="34">
        <f>DATE(Control!$C$9+INT((Control!$C$10+CP$3-2)/12),CP$5,1)</f>
        <v/>
      </c>
      <c r="CQ6" s="34">
        <f>DATE(Control!$C$9+INT((Control!$C$10+CQ$3-2)/12),CQ$5,1)</f>
        <v/>
      </c>
      <c r="CR6" s="34">
        <f>DATE(Control!$C$9+INT((Control!$C$10+CR$3-2)/12),CR$5,1)</f>
        <v/>
      </c>
      <c r="CS6" s="34">
        <f>DATE(Control!$C$9+INT((Control!$C$10+CS$3-2)/12),CS$5,1)</f>
        <v/>
      </c>
      <c r="CT6" s="34">
        <f>DATE(Control!$C$9+INT((Control!$C$10+CT$3-2)/12),CT$5,1)</f>
        <v/>
      </c>
      <c r="CU6" s="34">
        <f>DATE(Control!$C$9+INT((Control!$C$10+CU$3-2)/12),CU$5,1)</f>
        <v/>
      </c>
      <c r="CV6" s="34">
        <f>DATE(Control!$C$9+INT((Control!$C$10+CV$3-2)/12),CV$5,1)</f>
        <v/>
      </c>
      <c r="CW6" s="34">
        <f>DATE(Control!$C$9+INT((Control!$C$10+CW$3-2)/12),CW$5,1)</f>
        <v/>
      </c>
      <c r="CX6" s="34">
        <f>DATE(Control!$C$9+INT((Control!$C$10+CX$3-2)/12),CX$5,1)</f>
        <v/>
      </c>
      <c r="CY6" s="34">
        <f>DATE(Control!$C$9+INT((Control!$C$10+CY$3-2)/12),CY$5,1)</f>
        <v/>
      </c>
      <c r="CZ6" s="34">
        <f>DATE(Control!$C$9+INT((Control!$C$10+CZ$3-2)/12),CZ$5,1)</f>
        <v/>
      </c>
      <c r="DA6" s="34">
        <f>DATE(Control!$C$9+INT((Control!$C$10+DA$3-2)/12),DA$5,1)</f>
        <v/>
      </c>
      <c r="DB6" s="34">
        <f>DATE(Control!$C$9+INT((Control!$C$10+DB$3-2)/12),DB$5,1)</f>
        <v/>
      </c>
      <c r="DC6" s="34">
        <f>DATE(Control!$C$9+INT((Control!$C$10+DC$3-2)/12),DC$5,1)</f>
        <v/>
      </c>
      <c r="DD6" s="34">
        <f>DATE(Control!$C$9+INT((Control!$C$10+DD$3-2)/12),DD$5,1)</f>
        <v/>
      </c>
      <c r="DE6" s="34">
        <f>DATE(Control!$C$9+INT((Control!$C$10+DE$3-2)/12),DE$5,1)</f>
        <v/>
      </c>
      <c r="DF6" s="34">
        <f>DATE(Control!$C$9+INT((Control!$C$10+DF$3-2)/12),DF$5,1)</f>
        <v/>
      </c>
      <c r="DG6" s="34">
        <f>DATE(Control!$C$9+INT((Control!$C$10+DG$3-2)/12),DG$5,1)</f>
        <v/>
      </c>
      <c r="DH6" s="34">
        <f>DATE(Control!$C$9+INT((Control!$C$10+DH$3-2)/12),DH$5,1)</f>
        <v/>
      </c>
      <c r="DI6" s="34">
        <f>DATE(Control!$C$9+INT((Control!$C$10+DI$3-2)/12),DI$5,1)</f>
        <v/>
      </c>
      <c r="DJ6" s="34">
        <f>DATE(Control!$C$9+INT((Control!$C$10+DJ$3-2)/12),DJ$5,1)</f>
        <v/>
      </c>
      <c r="DK6" s="34">
        <f>DATE(Control!$C$9+INT((Control!$C$10+DK$3-2)/12),DK$5,1)</f>
        <v/>
      </c>
      <c r="DL6" s="34">
        <f>DATE(Control!$C$9+INT((Control!$C$10+DL$3-2)/12),DL$5,1)</f>
        <v/>
      </c>
      <c r="DM6" s="34">
        <f>DATE(Control!$C$9+INT((Control!$C$10+DM$3-2)/12),DM$5,1)</f>
        <v/>
      </c>
      <c r="DN6" s="34">
        <f>DATE(Control!$C$9+INT((Control!$C$10+DN$3-2)/12),DN$5,1)</f>
        <v/>
      </c>
      <c r="DO6" s="34">
        <f>DATE(Control!$C$9+INT((Control!$C$10+DO$3-2)/12),DO$5,1)</f>
        <v/>
      </c>
      <c r="DP6" s="34">
        <f>DATE(Control!$C$9+INT((Control!$C$10+DP$3-2)/12),DP$5,1)</f>
        <v/>
      </c>
      <c r="DQ6" s="34">
        <f>DATE(Control!$C$9+INT((Control!$C$10+DQ$3-2)/12),DQ$5,1)</f>
        <v/>
      </c>
      <c r="DR6" s="34">
        <f>DATE(Control!$C$9+INT((Control!$C$10+DR$3-2)/12),DR$5,1)</f>
        <v/>
      </c>
      <c r="DS6" s="34">
        <f>DATE(Control!$C$9+INT((Control!$C$10+DS$3-2)/12),DS$5,1)</f>
        <v/>
      </c>
    </row>
    <row r="8">
      <c r="A8" s="11" t="n"/>
      <c r="B8" s="12" t="inlineStr">
        <is>
          <t>Goats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  <c r="AZ8" s="11" t="n"/>
      <c r="BA8" s="11" t="n"/>
      <c r="BB8" s="11" t="n"/>
      <c r="BC8" s="11" t="n"/>
      <c r="BD8" s="11" t="n"/>
      <c r="BE8" s="11" t="n"/>
      <c r="BF8" s="11" t="n"/>
      <c r="BG8" s="11" t="n"/>
      <c r="BH8" s="11" t="n"/>
      <c r="BI8" s="11" t="n"/>
      <c r="BJ8" s="11" t="n"/>
      <c r="BK8" s="11" t="n"/>
      <c r="BL8" s="11" t="n"/>
      <c r="BM8" s="11" t="n"/>
      <c r="BN8" s="11" t="n"/>
      <c r="BO8" s="11" t="n"/>
      <c r="BP8" s="11" t="n"/>
      <c r="BQ8" s="11" t="n"/>
      <c r="BR8" s="11" t="n"/>
      <c r="BS8" s="11" t="n"/>
      <c r="BT8" s="11" t="n"/>
      <c r="BU8" s="11" t="n"/>
      <c r="BV8" s="11" t="n"/>
      <c r="BW8" s="11" t="n"/>
      <c r="BX8" s="11" t="n"/>
      <c r="BY8" s="11" t="n"/>
      <c r="BZ8" s="11" t="n"/>
      <c r="CA8" s="11" t="n"/>
      <c r="CB8" s="11" t="n"/>
      <c r="CC8" s="11" t="n"/>
      <c r="CD8" s="11" t="n"/>
      <c r="CE8" s="11" t="n"/>
      <c r="CF8" s="11" t="n"/>
      <c r="CG8" s="11" t="n"/>
      <c r="CH8" s="11" t="n"/>
      <c r="CI8" s="11" t="n"/>
      <c r="CJ8" s="11" t="n"/>
      <c r="CK8" s="11" t="n"/>
      <c r="CL8" s="11" t="n"/>
      <c r="CM8" s="11" t="n"/>
      <c r="CN8" s="11" t="n"/>
      <c r="CO8" s="11" t="n"/>
      <c r="CP8" s="11" t="n"/>
      <c r="CQ8" s="11" t="n"/>
      <c r="CR8" s="11" t="n"/>
      <c r="CS8" s="11" t="n"/>
      <c r="CT8" s="11" t="n"/>
      <c r="CU8" s="11" t="n"/>
      <c r="CV8" s="11" t="n"/>
      <c r="CW8" s="11" t="n"/>
      <c r="CX8" s="11" t="n"/>
      <c r="CY8" s="11" t="n"/>
      <c r="CZ8" s="11" t="n"/>
      <c r="DA8" s="11" t="n"/>
      <c r="DB8" s="11" t="n"/>
      <c r="DC8" s="11" t="n"/>
      <c r="DD8" s="11" t="n"/>
      <c r="DE8" s="11" t="n"/>
      <c r="DF8" s="11" t="n"/>
      <c r="DG8" s="11" t="n"/>
      <c r="DH8" s="11" t="n"/>
      <c r="DI8" s="11" t="n"/>
      <c r="DJ8" s="11" t="n"/>
      <c r="DK8" s="11" t="n"/>
      <c r="DL8" s="11" t="n"/>
      <c r="DM8" s="11" t="n"/>
      <c r="DN8" s="11" t="n"/>
      <c r="DO8" s="11" t="n"/>
      <c r="DP8" s="11" t="n"/>
      <c r="DQ8" s="11" t="n"/>
      <c r="DR8" s="11" t="n"/>
      <c r="DS8" s="11" t="n"/>
    </row>
    <row r="9">
      <c r="A9" s="2" t="inlineStr">
        <is>
          <t>GT_FBUY</t>
        </is>
      </c>
      <c r="B9" s="6" t="inlineStr">
        <is>
          <t>Breeding females bought</t>
        </is>
      </c>
      <c r="C9" s="2" t="inlineStr">
        <is>
          <t>head</t>
        </is>
      </c>
      <c r="D9" s="29">
        <f>IF(D$3=Models!$H$21,Models!$H$22,0)+IF(D$3=Models!$H$24,Models!$H$25,0)</f>
        <v/>
      </c>
      <c r="E9" s="29">
        <f>IF(E$3=Models!$H$21,Models!$H$22,0)+IF(E$3=Models!$H$24,Models!$H$25,0)</f>
        <v/>
      </c>
      <c r="F9" s="29">
        <f>IF(F$3=Models!$H$21,Models!$H$22,0)+IF(F$3=Models!$H$24,Models!$H$25,0)</f>
        <v/>
      </c>
      <c r="G9" s="29">
        <f>IF(G$3=Models!$H$21,Models!$H$22,0)+IF(G$3=Models!$H$24,Models!$H$25,0)</f>
        <v/>
      </c>
      <c r="H9" s="29">
        <f>IF(H$3=Models!$H$21,Models!$H$22,0)+IF(H$3=Models!$H$24,Models!$H$25,0)</f>
        <v/>
      </c>
      <c r="I9" s="29">
        <f>IF(I$3=Models!$H$21,Models!$H$22,0)+IF(I$3=Models!$H$24,Models!$H$25,0)</f>
        <v/>
      </c>
      <c r="J9" s="29">
        <f>IF(J$3=Models!$H$21,Models!$H$22,0)+IF(J$3=Models!$H$24,Models!$H$25,0)</f>
        <v/>
      </c>
      <c r="K9" s="29">
        <f>IF(K$3=Models!$H$21,Models!$H$22,0)+IF(K$3=Models!$H$24,Models!$H$25,0)</f>
        <v/>
      </c>
      <c r="L9" s="29">
        <f>IF(L$3=Models!$H$21,Models!$H$22,0)+IF(L$3=Models!$H$24,Models!$H$25,0)</f>
        <v/>
      </c>
      <c r="M9" s="29">
        <f>IF(M$3=Models!$H$21,Models!$H$22,0)+IF(M$3=Models!$H$24,Models!$H$25,0)</f>
        <v/>
      </c>
      <c r="N9" s="29">
        <f>IF(N$3=Models!$H$21,Models!$H$22,0)+IF(N$3=Models!$H$24,Models!$H$25,0)</f>
        <v/>
      </c>
      <c r="O9" s="29">
        <f>IF(O$3=Models!$H$21,Models!$H$22,0)+IF(O$3=Models!$H$24,Models!$H$25,0)</f>
        <v/>
      </c>
      <c r="P9" s="29">
        <f>IF(P$3=Models!$H$21,Models!$H$22,0)+IF(P$3=Models!$H$24,Models!$H$25,0)</f>
        <v/>
      </c>
      <c r="Q9" s="29">
        <f>IF(Q$3=Models!$H$21,Models!$H$22,0)+IF(Q$3=Models!$H$24,Models!$H$25,0)</f>
        <v/>
      </c>
      <c r="R9" s="29">
        <f>IF(R$3=Models!$H$21,Models!$H$22,0)+IF(R$3=Models!$H$24,Models!$H$25,0)</f>
        <v/>
      </c>
      <c r="S9" s="29">
        <f>IF(S$3=Models!$H$21,Models!$H$22,0)+IF(S$3=Models!$H$24,Models!$H$25,0)</f>
        <v/>
      </c>
      <c r="T9" s="29">
        <f>IF(T$3=Models!$H$21,Models!$H$22,0)+IF(T$3=Models!$H$24,Models!$H$25,0)</f>
        <v/>
      </c>
      <c r="U9" s="29">
        <f>IF(U$3=Models!$H$21,Models!$H$22,0)+IF(U$3=Models!$H$24,Models!$H$25,0)</f>
        <v/>
      </c>
      <c r="V9" s="29">
        <f>IF(V$3=Models!$H$21,Models!$H$22,0)+IF(V$3=Models!$H$24,Models!$H$25,0)</f>
        <v/>
      </c>
      <c r="W9" s="29">
        <f>IF(W$3=Models!$H$21,Models!$H$22,0)+IF(W$3=Models!$H$24,Models!$H$25,0)</f>
        <v/>
      </c>
      <c r="X9" s="29">
        <f>IF(X$3=Models!$H$21,Models!$H$22,0)+IF(X$3=Models!$H$24,Models!$H$25,0)</f>
        <v/>
      </c>
      <c r="Y9" s="29">
        <f>IF(Y$3=Models!$H$21,Models!$H$22,0)+IF(Y$3=Models!$H$24,Models!$H$25,0)</f>
        <v/>
      </c>
      <c r="Z9" s="29">
        <f>IF(Z$3=Models!$H$21,Models!$H$22,0)+IF(Z$3=Models!$H$24,Models!$H$25,0)</f>
        <v/>
      </c>
      <c r="AA9" s="29">
        <f>IF(AA$3=Models!$H$21,Models!$H$22,0)+IF(AA$3=Models!$H$24,Models!$H$25,0)</f>
        <v/>
      </c>
      <c r="AB9" s="29">
        <f>IF(AB$3=Models!$H$21,Models!$H$22,0)+IF(AB$3=Models!$H$24,Models!$H$25,0)</f>
        <v/>
      </c>
      <c r="AC9" s="29">
        <f>IF(AC$3=Models!$H$21,Models!$H$22,0)+IF(AC$3=Models!$H$24,Models!$H$25,0)</f>
        <v/>
      </c>
      <c r="AD9" s="29">
        <f>IF(AD$3=Models!$H$21,Models!$H$22,0)+IF(AD$3=Models!$H$24,Models!$H$25,0)</f>
        <v/>
      </c>
      <c r="AE9" s="29">
        <f>IF(AE$3=Models!$H$21,Models!$H$22,0)+IF(AE$3=Models!$H$24,Models!$H$25,0)</f>
        <v/>
      </c>
      <c r="AF9" s="29">
        <f>IF(AF$3=Models!$H$21,Models!$H$22,0)+IF(AF$3=Models!$H$24,Models!$H$25,0)</f>
        <v/>
      </c>
      <c r="AG9" s="29">
        <f>IF(AG$3=Models!$H$21,Models!$H$22,0)+IF(AG$3=Models!$H$24,Models!$H$25,0)</f>
        <v/>
      </c>
      <c r="AH9" s="29">
        <f>IF(AH$3=Models!$H$21,Models!$H$22,0)+IF(AH$3=Models!$H$24,Models!$H$25,0)</f>
        <v/>
      </c>
      <c r="AI9" s="29">
        <f>IF(AI$3=Models!$H$21,Models!$H$22,0)+IF(AI$3=Models!$H$24,Models!$H$25,0)</f>
        <v/>
      </c>
      <c r="AJ9" s="29">
        <f>IF(AJ$3=Models!$H$21,Models!$H$22,0)+IF(AJ$3=Models!$H$24,Models!$H$25,0)</f>
        <v/>
      </c>
      <c r="AK9" s="29">
        <f>IF(AK$3=Models!$H$21,Models!$H$22,0)+IF(AK$3=Models!$H$24,Models!$H$25,0)</f>
        <v/>
      </c>
      <c r="AL9" s="29">
        <f>IF(AL$3=Models!$H$21,Models!$H$22,0)+IF(AL$3=Models!$H$24,Models!$H$25,0)</f>
        <v/>
      </c>
      <c r="AM9" s="29">
        <f>IF(AM$3=Models!$H$21,Models!$H$22,0)+IF(AM$3=Models!$H$24,Models!$H$25,0)</f>
        <v/>
      </c>
      <c r="AN9" s="29">
        <f>IF(AN$3=Models!$H$21,Models!$H$22,0)+IF(AN$3=Models!$H$24,Models!$H$25,0)</f>
        <v/>
      </c>
      <c r="AO9" s="29">
        <f>IF(AO$3=Models!$H$21,Models!$H$22,0)+IF(AO$3=Models!$H$24,Models!$H$25,0)</f>
        <v/>
      </c>
      <c r="AP9" s="29">
        <f>IF(AP$3=Models!$H$21,Models!$H$22,0)+IF(AP$3=Models!$H$24,Models!$H$25,0)</f>
        <v/>
      </c>
      <c r="AQ9" s="29">
        <f>IF(AQ$3=Models!$H$21,Models!$H$22,0)+IF(AQ$3=Models!$H$24,Models!$H$25,0)</f>
        <v/>
      </c>
      <c r="AR9" s="29">
        <f>IF(AR$3=Models!$H$21,Models!$H$22,0)+IF(AR$3=Models!$H$24,Models!$H$25,0)</f>
        <v/>
      </c>
      <c r="AS9" s="29">
        <f>IF(AS$3=Models!$H$21,Models!$H$22,0)+IF(AS$3=Models!$H$24,Models!$H$25,0)</f>
        <v/>
      </c>
      <c r="AT9" s="29">
        <f>IF(AT$3=Models!$H$21,Models!$H$22,0)+IF(AT$3=Models!$H$24,Models!$H$25,0)</f>
        <v/>
      </c>
      <c r="AU9" s="29">
        <f>IF(AU$3=Models!$H$21,Models!$H$22,0)+IF(AU$3=Models!$H$24,Models!$H$25,0)</f>
        <v/>
      </c>
      <c r="AV9" s="29">
        <f>IF(AV$3=Models!$H$21,Models!$H$22,0)+IF(AV$3=Models!$H$24,Models!$H$25,0)</f>
        <v/>
      </c>
      <c r="AW9" s="29">
        <f>IF(AW$3=Models!$H$21,Models!$H$22,0)+IF(AW$3=Models!$H$24,Models!$H$25,0)</f>
        <v/>
      </c>
      <c r="AX9" s="29">
        <f>IF(AX$3=Models!$H$21,Models!$H$22,0)+IF(AX$3=Models!$H$24,Models!$H$25,0)</f>
        <v/>
      </c>
      <c r="AY9" s="29">
        <f>IF(AY$3=Models!$H$21,Models!$H$22,0)+IF(AY$3=Models!$H$24,Models!$H$25,0)</f>
        <v/>
      </c>
      <c r="AZ9" s="29">
        <f>IF(AZ$3=Models!$H$21,Models!$H$22,0)+IF(AZ$3=Models!$H$24,Models!$H$25,0)</f>
        <v/>
      </c>
      <c r="BA9" s="29">
        <f>IF(BA$3=Models!$H$21,Models!$H$22,0)+IF(BA$3=Models!$H$24,Models!$H$25,0)</f>
        <v/>
      </c>
      <c r="BB9" s="29">
        <f>IF(BB$3=Models!$H$21,Models!$H$22,0)+IF(BB$3=Models!$H$24,Models!$H$25,0)</f>
        <v/>
      </c>
      <c r="BC9" s="29">
        <f>IF(BC$3=Models!$H$21,Models!$H$22,0)+IF(BC$3=Models!$H$24,Models!$H$25,0)</f>
        <v/>
      </c>
      <c r="BD9" s="29">
        <f>IF(BD$3=Models!$H$21,Models!$H$22,0)+IF(BD$3=Models!$H$24,Models!$H$25,0)</f>
        <v/>
      </c>
      <c r="BE9" s="29">
        <f>IF(BE$3=Models!$H$21,Models!$H$22,0)+IF(BE$3=Models!$H$24,Models!$H$25,0)</f>
        <v/>
      </c>
      <c r="BF9" s="29">
        <f>IF(BF$3=Models!$H$21,Models!$H$22,0)+IF(BF$3=Models!$H$24,Models!$H$25,0)</f>
        <v/>
      </c>
      <c r="BG9" s="29">
        <f>IF(BG$3=Models!$H$21,Models!$H$22,0)+IF(BG$3=Models!$H$24,Models!$H$25,0)</f>
        <v/>
      </c>
      <c r="BH9" s="29">
        <f>IF(BH$3=Models!$H$21,Models!$H$22,0)+IF(BH$3=Models!$H$24,Models!$H$25,0)</f>
        <v/>
      </c>
      <c r="BI9" s="29">
        <f>IF(BI$3=Models!$H$21,Models!$H$22,0)+IF(BI$3=Models!$H$24,Models!$H$25,0)</f>
        <v/>
      </c>
      <c r="BJ9" s="29">
        <f>IF(BJ$3=Models!$H$21,Models!$H$22,0)+IF(BJ$3=Models!$H$24,Models!$H$25,0)</f>
        <v/>
      </c>
      <c r="BK9" s="29">
        <f>IF(BK$3=Models!$H$21,Models!$H$22,0)+IF(BK$3=Models!$H$24,Models!$H$25,0)</f>
        <v/>
      </c>
      <c r="BL9" s="29">
        <f>IF(BL$3=Models!$H$21,Models!$H$22,0)+IF(BL$3=Models!$H$24,Models!$H$25,0)</f>
        <v/>
      </c>
      <c r="BM9" s="29">
        <f>IF(BM$3=Models!$H$21,Models!$H$22,0)+IF(BM$3=Models!$H$24,Models!$H$25,0)</f>
        <v/>
      </c>
      <c r="BN9" s="29">
        <f>IF(BN$3=Models!$H$21,Models!$H$22,0)+IF(BN$3=Models!$H$24,Models!$H$25,0)</f>
        <v/>
      </c>
      <c r="BO9" s="29">
        <f>IF(BO$3=Models!$H$21,Models!$H$22,0)+IF(BO$3=Models!$H$24,Models!$H$25,0)</f>
        <v/>
      </c>
      <c r="BP9" s="29">
        <f>IF(BP$3=Models!$H$21,Models!$H$22,0)+IF(BP$3=Models!$H$24,Models!$H$25,0)</f>
        <v/>
      </c>
      <c r="BQ9" s="29">
        <f>IF(BQ$3=Models!$H$21,Models!$H$22,0)+IF(BQ$3=Models!$H$24,Models!$H$25,0)</f>
        <v/>
      </c>
      <c r="BR9" s="29">
        <f>IF(BR$3=Models!$H$21,Models!$H$22,0)+IF(BR$3=Models!$H$24,Models!$H$25,0)</f>
        <v/>
      </c>
      <c r="BS9" s="29">
        <f>IF(BS$3=Models!$H$21,Models!$H$22,0)+IF(BS$3=Models!$H$24,Models!$H$25,0)</f>
        <v/>
      </c>
      <c r="BT9" s="29">
        <f>IF(BT$3=Models!$H$21,Models!$H$22,0)+IF(BT$3=Models!$H$24,Models!$H$25,0)</f>
        <v/>
      </c>
      <c r="BU9" s="29">
        <f>IF(BU$3=Models!$H$21,Models!$H$22,0)+IF(BU$3=Models!$H$24,Models!$H$25,0)</f>
        <v/>
      </c>
      <c r="BV9" s="29">
        <f>IF(BV$3=Models!$H$21,Models!$H$22,0)+IF(BV$3=Models!$H$24,Models!$H$25,0)</f>
        <v/>
      </c>
      <c r="BW9" s="29">
        <f>IF(BW$3=Models!$H$21,Models!$H$22,0)+IF(BW$3=Models!$H$24,Models!$H$25,0)</f>
        <v/>
      </c>
      <c r="BX9" s="29">
        <f>IF(BX$3=Models!$H$21,Models!$H$22,0)+IF(BX$3=Models!$H$24,Models!$H$25,0)</f>
        <v/>
      </c>
      <c r="BY9" s="29">
        <f>IF(BY$3=Models!$H$21,Models!$H$22,0)+IF(BY$3=Models!$H$24,Models!$H$25,0)</f>
        <v/>
      </c>
      <c r="BZ9" s="29">
        <f>IF(BZ$3=Models!$H$21,Models!$H$22,0)+IF(BZ$3=Models!$H$24,Models!$H$25,0)</f>
        <v/>
      </c>
      <c r="CA9" s="29">
        <f>IF(CA$3=Models!$H$21,Models!$H$22,0)+IF(CA$3=Models!$H$24,Models!$H$25,0)</f>
        <v/>
      </c>
      <c r="CB9" s="29">
        <f>IF(CB$3=Models!$H$21,Models!$H$22,0)+IF(CB$3=Models!$H$24,Models!$H$25,0)</f>
        <v/>
      </c>
      <c r="CC9" s="29">
        <f>IF(CC$3=Models!$H$21,Models!$H$22,0)+IF(CC$3=Models!$H$24,Models!$H$25,0)</f>
        <v/>
      </c>
      <c r="CD9" s="29">
        <f>IF(CD$3=Models!$H$21,Models!$H$22,0)+IF(CD$3=Models!$H$24,Models!$H$25,0)</f>
        <v/>
      </c>
      <c r="CE9" s="29">
        <f>IF(CE$3=Models!$H$21,Models!$H$22,0)+IF(CE$3=Models!$H$24,Models!$H$25,0)</f>
        <v/>
      </c>
      <c r="CF9" s="29">
        <f>IF(CF$3=Models!$H$21,Models!$H$22,0)+IF(CF$3=Models!$H$24,Models!$H$25,0)</f>
        <v/>
      </c>
      <c r="CG9" s="29">
        <f>IF(CG$3=Models!$H$21,Models!$H$22,0)+IF(CG$3=Models!$H$24,Models!$H$25,0)</f>
        <v/>
      </c>
      <c r="CH9" s="29">
        <f>IF(CH$3=Models!$H$21,Models!$H$22,0)+IF(CH$3=Models!$H$24,Models!$H$25,0)</f>
        <v/>
      </c>
      <c r="CI9" s="29">
        <f>IF(CI$3=Models!$H$21,Models!$H$22,0)+IF(CI$3=Models!$H$24,Models!$H$25,0)</f>
        <v/>
      </c>
      <c r="CJ9" s="29">
        <f>IF(CJ$3=Models!$H$21,Models!$H$22,0)+IF(CJ$3=Models!$H$24,Models!$H$25,0)</f>
        <v/>
      </c>
      <c r="CK9" s="29">
        <f>IF(CK$3=Models!$H$21,Models!$H$22,0)+IF(CK$3=Models!$H$24,Models!$H$25,0)</f>
        <v/>
      </c>
      <c r="CL9" s="29">
        <f>IF(CL$3=Models!$H$21,Models!$H$22,0)+IF(CL$3=Models!$H$24,Models!$H$25,0)</f>
        <v/>
      </c>
      <c r="CM9" s="29">
        <f>IF(CM$3=Models!$H$21,Models!$H$22,0)+IF(CM$3=Models!$H$24,Models!$H$25,0)</f>
        <v/>
      </c>
      <c r="CN9" s="29">
        <f>IF(CN$3=Models!$H$21,Models!$H$22,0)+IF(CN$3=Models!$H$24,Models!$H$25,0)</f>
        <v/>
      </c>
      <c r="CO9" s="29">
        <f>IF(CO$3=Models!$H$21,Models!$H$22,0)+IF(CO$3=Models!$H$24,Models!$H$25,0)</f>
        <v/>
      </c>
      <c r="CP9" s="29">
        <f>IF(CP$3=Models!$H$21,Models!$H$22,0)+IF(CP$3=Models!$H$24,Models!$H$25,0)</f>
        <v/>
      </c>
      <c r="CQ9" s="29">
        <f>IF(CQ$3=Models!$H$21,Models!$H$22,0)+IF(CQ$3=Models!$H$24,Models!$H$25,0)</f>
        <v/>
      </c>
      <c r="CR9" s="29">
        <f>IF(CR$3=Models!$H$21,Models!$H$22,0)+IF(CR$3=Models!$H$24,Models!$H$25,0)</f>
        <v/>
      </c>
      <c r="CS9" s="29">
        <f>IF(CS$3=Models!$H$21,Models!$H$22,0)+IF(CS$3=Models!$H$24,Models!$H$25,0)</f>
        <v/>
      </c>
      <c r="CT9" s="29">
        <f>IF(CT$3=Models!$H$21,Models!$H$22,0)+IF(CT$3=Models!$H$24,Models!$H$25,0)</f>
        <v/>
      </c>
      <c r="CU9" s="29">
        <f>IF(CU$3=Models!$H$21,Models!$H$22,0)+IF(CU$3=Models!$H$24,Models!$H$25,0)</f>
        <v/>
      </c>
      <c r="CV9" s="29">
        <f>IF(CV$3=Models!$H$21,Models!$H$22,0)+IF(CV$3=Models!$H$24,Models!$H$25,0)</f>
        <v/>
      </c>
      <c r="CW9" s="29">
        <f>IF(CW$3=Models!$H$21,Models!$H$22,0)+IF(CW$3=Models!$H$24,Models!$H$25,0)</f>
        <v/>
      </c>
      <c r="CX9" s="29">
        <f>IF(CX$3=Models!$H$21,Models!$H$22,0)+IF(CX$3=Models!$H$24,Models!$H$25,0)</f>
        <v/>
      </c>
      <c r="CY9" s="29">
        <f>IF(CY$3=Models!$H$21,Models!$H$22,0)+IF(CY$3=Models!$H$24,Models!$H$25,0)</f>
        <v/>
      </c>
      <c r="CZ9" s="29">
        <f>IF(CZ$3=Models!$H$21,Models!$H$22,0)+IF(CZ$3=Models!$H$24,Models!$H$25,0)</f>
        <v/>
      </c>
      <c r="DA9" s="29">
        <f>IF(DA$3=Models!$H$21,Models!$H$22,0)+IF(DA$3=Models!$H$24,Models!$H$25,0)</f>
        <v/>
      </c>
      <c r="DB9" s="29">
        <f>IF(DB$3=Models!$H$21,Models!$H$22,0)+IF(DB$3=Models!$H$24,Models!$H$25,0)</f>
        <v/>
      </c>
      <c r="DC9" s="29">
        <f>IF(DC$3=Models!$H$21,Models!$H$22,0)+IF(DC$3=Models!$H$24,Models!$H$25,0)</f>
        <v/>
      </c>
      <c r="DD9" s="29">
        <f>IF(DD$3=Models!$H$21,Models!$H$22,0)+IF(DD$3=Models!$H$24,Models!$H$25,0)</f>
        <v/>
      </c>
      <c r="DE9" s="29">
        <f>IF(DE$3=Models!$H$21,Models!$H$22,0)+IF(DE$3=Models!$H$24,Models!$H$25,0)</f>
        <v/>
      </c>
      <c r="DF9" s="29">
        <f>IF(DF$3=Models!$H$21,Models!$H$22,0)+IF(DF$3=Models!$H$24,Models!$H$25,0)</f>
        <v/>
      </c>
      <c r="DG9" s="29">
        <f>IF(DG$3=Models!$H$21,Models!$H$22,0)+IF(DG$3=Models!$H$24,Models!$H$25,0)</f>
        <v/>
      </c>
      <c r="DH9" s="29">
        <f>IF(DH$3=Models!$H$21,Models!$H$22,0)+IF(DH$3=Models!$H$24,Models!$H$25,0)</f>
        <v/>
      </c>
      <c r="DI9" s="29">
        <f>IF(DI$3=Models!$H$21,Models!$H$22,0)+IF(DI$3=Models!$H$24,Models!$H$25,0)</f>
        <v/>
      </c>
      <c r="DJ9" s="29">
        <f>IF(DJ$3=Models!$H$21,Models!$H$22,0)+IF(DJ$3=Models!$H$24,Models!$H$25,0)</f>
        <v/>
      </c>
      <c r="DK9" s="29">
        <f>IF(DK$3=Models!$H$21,Models!$H$22,0)+IF(DK$3=Models!$H$24,Models!$H$25,0)</f>
        <v/>
      </c>
      <c r="DL9" s="29">
        <f>IF(DL$3=Models!$H$21,Models!$H$22,0)+IF(DL$3=Models!$H$24,Models!$H$25,0)</f>
        <v/>
      </c>
      <c r="DM9" s="29">
        <f>IF(DM$3=Models!$H$21,Models!$H$22,0)+IF(DM$3=Models!$H$24,Models!$H$25,0)</f>
        <v/>
      </c>
      <c r="DN9" s="29">
        <f>IF(DN$3=Models!$H$21,Models!$H$22,0)+IF(DN$3=Models!$H$24,Models!$H$25,0)</f>
        <v/>
      </c>
      <c r="DO9" s="29">
        <f>IF(DO$3=Models!$H$21,Models!$H$22,0)+IF(DO$3=Models!$H$24,Models!$H$25,0)</f>
        <v/>
      </c>
      <c r="DP9" s="29">
        <f>IF(DP$3=Models!$H$21,Models!$H$22,0)+IF(DP$3=Models!$H$24,Models!$H$25,0)</f>
        <v/>
      </c>
      <c r="DQ9" s="29">
        <f>IF(DQ$3=Models!$H$21,Models!$H$22,0)+IF(DQ$3=Models!$H$24,Models!$H$25,0)</f>
        <v/>
      </c>
      <c r="DR9" s="29">
        <f>IF(DR$3=Models!$H$21,Models!$H$22,0)+IF(DR$3=Models!$H$24,Models!$H$25,0)</f>
        <v/>
      </c>
      <c r="DS9" s="29">
        <f>IF(DS$3=Models!$H$21,Models!$H$22,0)+IF(DS$3=Models!$H$24,Models!$H$25,0)</f>
        <v/>
      </c>
    </row>
    <row r="10">
      <c r="A10" s="2" t="inlineStr">
        <is>
          <t>GT_MBUYT</t>
        </is>
      </c>
      <c r="B10" s="6" t="inlineStr">
        <is>
          <t>Breeding males bought in tranches</t>
        </is>
      </c>
      <c r="C10" s="2" t="inlineStr">
        <is>
          <t>head</t>
        </is>
      </c>
      <c r="D10" s="29">
        <f>IF(D$3=Models!$H$21,Models!$H$23,0)+IF(D$3=Models!$H$24,Models!$H$26,0)</f>
        <v/>
      </c>
      <c r="E10" s="29">
        <f>IF(E$3=Models!$H$21,Models!$H$23,0)+IF(E$3=Models!$H$24,Models!$H$26,0)</f>
        <v/>
      </c>
      <c r="F10" s="29">
        <f>IF(F$3=Models!$H$21,Models!$H$23,0)+IF(F$3=Models!$H$24,Models!$H$26,0)</f>
        <v/>
      </c>
      <c r="G10" s="29">
        <f>IF(G$3=Models!$H$21,Models!$H$23,0)+IF(G$3=Models!$H$24,Models!$H$26,0)</f>
        <v/>
      </c>
      <c r="H10" s="29">
        <f>IF(H$3=Models!$H$21,Models!$H$23,0)+IF(H$3=Models!$H$24,Models!$H$26,0)</f>
        <v/>
      </c>
      <c r="I10" s="29">
        <f>IF(I$3=Models!$H$21,Models!$H$23,0)+IF(I$3=Models!$H$24,Models!$H$26,0)</f>
        <v/>
      </c>
      <c r="J10" s="29">
        <f>IF(J$3=Models!$H$21,Models!$H$23,0)+IF(J$3=Models!$H$24,Models!$H$26,0)</f>
        <v/>
      </c>
      <c r="K10" s="29">
        <f>IF(K$3=Models!$H$21,Models!$H$23,0)+IF(K$3=Models!$H$24,Models!$H$26,0)</f>
        <v/>
      </c>
      <c r="L10" s="29">
        <f>IF(L$3=Models!$H$21,Models!$H$23,0)+IF(L$3=Models!$H$24,Models!$H$26,0)</f>
        <v/>
      </c>
      <c r="M10" s="29">
        <f>IF(M$3=Models!$H$21,Models!$H$23,0)+IF(M$3=Models!$H$24,Models!$H$26,0)</f>
        <v/>
      </c>
      <c r="N10" s="29">
        <f>IF(N$3=Models!$H$21,Models!$H$23,0)+IF(N$3=Models!$H$24,Models!$H$26,0)</f>
        <v/>
      </c>
      <c r="O10" s="29">
        <f>IF(O$3=Models!$H$21,Models!$H$23,0)+IF(O$3=Models!$H$24,Models!$H$26,0)</f>
        <v/>
      </c>
      <c r="P10" s="29">
        <f>IF(P$3=Models!$H$21,Models!$H$23,0)+IF(P$3=Models!$H$24,Models!$H$26,0)</f>
        <v/>
      </c>
      <c r="Q10" s="29">
        <f>IF(Q$3=Models!$H$21,Models!$H$23,0)+IF(Q$3=Models!$H$24,Models!$H$26,0)</f>
        <v/>
      </c>
      <c r="R10" s="29">
        <f>IF(R$3=Models!$H$21,Models!$H$23,0)+IF(R$3=Models!$H$24,Models!$H$26,0)</f>
        <v/>
      </c>
      <c r="S10" s="29">
        <f>IF(S$3=Models!$H$21,Models!$H$23,0)+IF(S$3=Models!$H$24,Models!$H$26,0)</f>
        <v/>
      </c>
      <c r="T10" s="29">
        <f>IF(T$3=Models!$H$21,Models!$H$23,0)+IF(T$3=Models!$H$24,Models!$H$26,0)</f>
        <v/>
      </c>
      <c r="U10" s="29">
        <f>IF(U$3=Models!$H$21,Models!$H$23,0)+IF(U$3=Models!$H$24,Models!$H$26,0)</f>
        <v/>
      </c>
      <c r="V10" s="29">
        <f>IF(V$3=Models!$H$21,Models!$H$23,0)+IF(V$3=Models!$H$24,Models!$H$26,0)</f>
        <v/>
      </c>
      <c r="W10" s="29">
        <f>IF(W$3=Models!$H$21,Models!$H$23,0)+IF(W$3=Models!$H$24,Models!$H$26,0)</f>
        <v/>
      </c>
      <c r="X10" s="29">
        <f>IF(X$3=Models!$H$21,Models!$H$23,0)+IF(X$3=Models!$H$24,Models!$H$26,0)</f>
        <v/>
      </c>
      <c r="Y10" s="29">
        <f>IF(Y$3=Models!$H$21,Models!$H$23,0)+IF(Y$3=Models!$H$24,Models!$H$26,0)</f>
        <v/>
      </c>
      <c r="Z10" s="29">
        <f>IF(Z$3=Models!$H$21,Models!$H$23,0)+IF(Z$3=Models!$H$24,Models!$H$26,0)</f>
        <v/>
      </c>
      <c r="AA10" s="29">
        <f>IF(AA$3=Models!$H$21,Models!$H$23,0)+IF(AA$3=Models!$H$24,Models!$H$26,0)</f>
        <v/>
      </c>
      <c r="AB10" s="29">
        <f>IF(AB$3=Models!$H$21,Models!$H$23,0)+IF(AB$3=Models!$H$24,Models!$H$26,0)</f>
        <v/>
      </c>
      <c r="AC10" s="29">
        <f>IF(AC$3=Models!$H$21,Models!$H$23,0)+IF(AC$3=Models!$H$24,Models!$H$26,0)</f>
        <v/>
      </c>
      <c r="AD10" s="29">
        <f>IF(AD$3=Models!$H$21,Models!$H$23,0)+IF(AD$3=Models!$H$24,Models!$H$26,0)</f>
        <v/>
      </c>
      <c r="AE10" s="29">
        <f>IF(AE$3=Models!$H$21,Models!$H$23,0)+IF(AE$3=Models!$H$24,Models!$H$26,0)</f>
        <v/>
      </c>
      <c r="AF10" s="29">
        <f>IF(AF$3=Models!$H$21,Models!$H$23,0)+IF(AF$3=Models!$H$24,Models!$H$26,0)</f>
        <v/>
      </c>
      <c r="AG10" s="29">
        <f>IF(AG$3=Models!$H$21,Models!$H$23,0)+IF(AG$3=Models!$H$24,Models!$H$26,0)</f>
        <v/>
      </c>
      <c r="AH10" s="29">
        <f>IF(AH$3=Models!$H$21,Models!$H$23,0)+IF(AH$3=Models!$H$24,Models!$H$26,0)</f>
        <v/>
      </c>
      <c r="AI10" s="29">
        <f>IF(AI$3=Models!$H$21,Models!$H$23,0)+IF(AI$3=Models!$H$24,Models!$H$26,0)</f>
        <v/>
      </c>
      <c r="AJ10" s="29">
        <f>IF(AJ$3=Models!$H$21,Models!$H$23,0)+IF(AJ$3=Models!$H$24,Models!$H$26,0)</f>
        <v/>
      </c>
      <c r="AK10" s="29">
        <f>IF(AK$3=Models!$H$21,Models!$H$23,0)+IF(AK$3=Models!$H$24,Models!$H$26,0)</f>
        <v/>
      </c>
      <c r="AL10" s="29">
        <f>IF(AL$3=Models!$H$21,Models!$H$23,0)+IF(AL$3=Models!$H$24,Models!$H$26,0)</f>
        <v/>
      </c>
      <c r="AM10" s="29">
        <f>IF(AM$3=Models!$H$21,Models!$H$23,0)+IF(AM$3=Models!$H$24,Models!$H$26,0)</f>
        <v/>
      </c>
      <c r="AN10" s="29">
        <f>IF(AN$3=Models!$H$21,Models!$H$23,0)+IF(AN$3=Models!$H$24,Models!$H$26,0)</f>
        <v/>
      </c>
      <c r="AO10" s="29">
        <f>IF(AO$3=Models!$H$21,Models!$H$23,0)+IF(AO$3=Models!$H$24,Models!$H$26,0)</f>
        <v/>
      </c>
      <c r="AP10" s="29">
        <f>IF(AP$3=Models!$H$21,Models!$H$23,0)+IF(AP$3=Models!$H$24,Models!$H$26,0)</f>
        <v/>
      </c>
      <c r="AQ10" s="29">
        <f>IF(AQ$3=Models!$H$21,Models!$H$23,0)+IF(AQ$3=Models!$H$24,Models!$H$26,0)</f>
        <v/>
      </c>
      <c r="AR10" s="29">
        <f>IF(AR$3=Models!$H$21,Models!$H$23,0)+IF(AR$3=Models!$H$24,Models!$H$26,0)</f>
        <v/>
      </c>
      <c r="AS10" s="29">
        <f>IF(AS$3=Models!$H$21,Models!$H$23,0)+IF(AS$3=Models!$H$24,Models!$H$26,0)</f>
        <v/>
      </c>
      <c r="AT10" s="29">
        <f>IF(AT$3=Models!$H$21,Models!$H$23,0)+IF(AT$3=Models!$H$24,Models!$H$26,0)</f>
        <v/>
      </c>
      <c r="AU10" s="29">
        <f>IF(AU$3=Models!$H$21,Models!$H$23,0)+IF(AU$3=Models!$H$24,Models!$H$26,0)</f>
        <v/>
      </c>
      <c r="AV10" s="29">
        <f>IF(AV$3=Models!$H$21,Models!$H$23,0)+IF(AV$3=Models!$H$24,Models!$H$26,0)</f>
        <v/>
      </c>
      <c r="AW10" s="29">
        <f>IF(AW$3=Models!$H$21,Models!$H$23,0)+IF(AW$3=Models!$H$24,Models!$H$26,0)</f>
        <v/>
      </c>
      <c r="AX10" s="29">
        <f>IF(AX$3=Models!$H$21,Models!$H$23,0)+IF(AX$3=Models!$H$24,Models!$H$26,0)</f>
        <v/>
      </c>
      <c r="AY10" s="29">
        <f>IF(AY$3=Models!$H$21,Models!$H$23,0)+IF(AY$3=Models!$H$24,Models!$H$26,0)</f>
        <v/>
      </c>
      <c r="AZ10" s="29">
        <f>IF(AZ$3=Models!$H$21,Models!$H$23,0)+IF(AZ$3=Models!$H$24,Models!$H$26,0)</f>
        <v/>
      </c>
      <c r="BA10" s="29">
        <f>IF(BA$3=Models!$H$21,Models!$H$23,0)+IF(BA$3=Models!$H$24,Models!$H$26,0)</f>
        <v/>
      </c>
      <c r="BB10" s="29">
        <f>IF(BB$3=Models!$H$21,Models!$H$23,0)+IF(BB$3=Models!$H$24,Models!$H$26,0)</f>
        <v/>
      </c>
      <c r="BC10" s="29">
        <f>IF(BC$3=Models!$H$21,Models!$H$23,0)+IF(BC$3=Models!$H$24,Models!$H$26,0)</f>
        <v/>
      </c>
      <c r="BD10" s="29">
        <f>IF(BD$3=Models!$H$21,Models!$H$23,0)+IF(BD$3=Models!$H$24,Models!$H$26,0)</f>
        <v/>
      </c>
      <c r="BE10" s="29">
        <f>IF(BE$3=Models!$H$21,Models!$H$23,0)+IF(BE$3=Models!$H$24,Models!$H$26,0)</f>
        <v/>
      </c>
      <c r="BF10" s="29">
        <f>IF(BF$3=Models!$H$21,Models!$H$23,0)+IF(BF$3=Models!$H$24,Models!$H$26,0)</f>
        <v/>
      </c>
      <c r="BG10" s="29">
        <f>IF(BG$3=Models!$H$21,Models!$H$23,0)+IF(BG$3=Models!$H$24,Models!$H$26,0)</f>
        <v/>
      </c>
      <c r="BH10" s="29">
        <f>IF(BH$3=Models!$H$21,Models!$H$23,0)+IF(BH$3=Models!$H$24,Models!$H$26,0)</f>
        <v/>
      </c>
      <c r="BI10" s="29">
        <f>IF(BI$3=Models!$H$21,Models!$H$23,0)+IF(BI$3=Models!$H$24,Models!$H$26,0)</f>
        <v/>
      </c>
      <c r="BJ10" s="29">
        <f>IF(BJ$3=Models!$H$21,Models!$H$23,0)+IF(BJ$3=Models!$H$24,Models!$H$26,0)</f>
        <v/>
      </c>
      <c r="BK10" s="29">
        <f>IF(BK$3=Models!$H$21,Models!$H$23,0)+IF(BK$3=Models!$H$24,Models!$H$26,0)</f>
        <v/>
      </c>
      <c r="BL10" s="29">
        <f>IF(BL$3=Models!$H$21,Models!$H$23,0)+IF(BL$3=Models!$H$24,Models!$H$26,0)</f>
        <v/>
      </c>
      <c r="BM10" s="29">
        <f>IF(BM$3=Models!$H$21,Models!$H$23,0)+IF(BM$3=Models!$H$24,Models!$H$26,0)</f>
        <v/>
      </c>
      <c r="BN10" s="29">
        <f>IF(BN$3=Models!$H$21,Models!$H$23,0)+IF(BN$3=Models!$H$24,Models!$H$26,0)</f>
        <v/>
      </c>
      <c r="BO10" s="29">
        <f>IF(BO$3=Models!$H$21,Models!$H$23,0)+IF(BO$3=Models!$H$24,Models!$H$26,0)</f>
        <v/>
      </c>
      <c r="BP10" s="29">
        <f>IF(BP$3=Models!$H$21,Models!$H$23,0)+IF(BP$3=Models!$H$24,Models!$H$26,0)</f>
        <v/>
      </c>
      <c r="BQ10" s="29">
        <f>IF(BQ$3=Models!$H$21,Models!$H$23,0)+IF(BQ$3=Models!$H$24,Models!$H$26,0)</f>
        <v/>
      </c>
      <c r="BR10" s="29">
        <f>IF(BR$3=Models!$H$21,Models!$H$23,0)+IF(BR$3=Models!$H$24,Models!$H$26,0)</f>
        <v/>
      </c>
      <c r="BS10" s="29">
        <f>IF(BS$3=Models!$H$21,Models!$H$23,0)+IF(BS$3=Models!$H$24,Models!$H$26,0)</f>
        <v/>
      </c>
      <c r="BT10" s="29">
        <f>IF(BT$3=Models!$H$21,Models!$H$23,0)+IF(BT$3=Models!$H$24,Models!$H$26,0)</f>
        <v/>
      </c>
      <c r="BU10" s="29">
        <f>IF(BU$3=Models!$H$21,Models!$H$23,0)+IF(BU$3=Models!$H$24,Models!$H$26,0)</f>
        <v/>
      </c>
      <c r="BV10" s="29">
        <f>IF(BV$3=Models!$H$21,Models!$H$23,0)+IF(BV$3=Models!$H$24,Models!$H$26,0)</f>
        <v/>
      </c>
      <c r="BW10" s="29">
        <f>IF(BW$3=Models!$H$21,Models!$H$23,0)+IF(BW$3=Models!$H$24,Models!$H$26,0)</f>
        <v/>
      </c>
      <c r="BX10" s="29">
        <f>IF(BX$3=Models!$H$21,Models!$H$23,0)+IF(BX$3=Models!$H$24,Models!$H$26,0)</f>
        <v/>
      </c>
      <c r="BY10" s="29">
        <f>IF(BY$3=Models!$H$21,Models!$H$23,0)+IF(BY$3=Models!$H$24,Models!$H$26,0)</f>
        <v/>
      </c>
      <c r="BZ10" s="29">
        <f>IF(BZ$3=Models!$H$21,Models!$H$23,0)+IF(BZ$3=Models!$H$24,Models!$H$26,0)</f>
        <v/>
      </c>
      <c r="CA10" s="29">
        <f>IF(CA$3=Models!$H$21,Models!$H$23,0)+IF(CA$3=Models!$H$24,Models!$H$26,0)</f>
        <v/>
      </c>
      <c r="CB10" s="29">
        <f>IF(CB$3=Models!$H$21,Models!$H$23,0)+IF(CB$3=Models!$H$24,Models!$H$26,0)</f>
        <v/>
      </c>
      <c r="CC10" s="29">
        <f>IF(CC$3=Models!$H$21,Models!$H$23,0)+IF(CC$3=Models!$H$24,Models!$H$26,0)</f>
        <v/>
      </c>
      <c r="CD10" s="29">
        <f>IF(CD$3=Models!$H$21,Models!$H$23,0)+IF(CD$3=Models!$H$24,Models!$H$26,0)</f>
        <v/>
      </c>
      <c r="CE10" s="29">
        <f>IF(CE$3=Models!$H$21,Models!$H$23,0)+IF(CE$3=Models!$H$24,Models!$H$26,0)</f>
        <v/>
      </c>
      <c r="CF10" s="29">
        <f>IF(CF$3=Models!$H$21,Models!$H$23,0)+IF(CF$3=Models!$H$24,Models!$H$26,0)</f>
        <v/>
      </c>
      <c r="CG10" s="29">
        <f>IF(CG$3=Models!$H$21,Models!$H$23,0)+IF(CG$3=Models!$H$24,Models!$H$26,0)</f>
        <v/>
      </c>
      <c r="CH10" s="29">
        <f>IF(CH$3=Models!$H$21,Models!$H$23,0)+IF(CH$3=Models!$H$24,Models!$H$26,0)</f>
        <v/>
      </c>
      <c r="CI10" s="29">
        <f>IF(CI$3=Models!$H$21,Models!$H$23,0)+IF(CI$3=Models!$H$24,Models!$H$26,0)</f>
        <v/>
      </c>
      <c r="CJ10" s="29">
        <f>IF(CJ$3=Models!$H$21,Models!$H$23,0)+IF(CJ$3=Models!$H$24,Models!$H$26,0)</f>
        <v/>
      </c>
      <c r="CK10" s="29">
        <f>IF(CK$3=Models!$H$21,Models!$H$23,0)+IF(CK$3=Models!$H$24,Models!$H$26,0)</f>
        <v/>
      </c>
      <c r="CL10" s="29">
        <f>IF(CL$3=Models!$H$21,Models!$H$23,0)+IF(CL$3=Models!$H$24,Models!$H$26,0)</f>
        <v/>
      </c>
      <c r="CM10" s="29">
        <f>IF(CM$3=Models!$H$21,Models!$H$23,0)+IF(CM$3=Models!$H$24,Models!$H$26,0)</f>
        <v/>
      </c>
      <c r="CN10" s="29">
        <f>IF(CN$3=Models!$H$21,Models!$H$23,0)+IF(CN$3=Models!$H$24,Models!$H$26,0)</f>
        <v/>
      </c>
      <c r="CO10" s="29">
        <f>IF(CO$3=Models!$H$21,Models!$H$23,0)+IF(CO$3=Models!$H$24,Models!$H$26,0)</f>
        <v/>
      </c>
      <c r="CP10" s="29">
        <f>IF(CP$3=Models!$H$21,Models!$H$23,0)+IF(CP$3=Models!$H$24,Models!$H$26,0)</f>
        <v/>
      </c>
      <c r="CQ10" s="29">
        <f>IF(CQ$3=Models!$H$21,Models!$H$23,0)+IF(CQ$3=Models!$H$24,Models!$H$26,0)</f>
        <v/>
      </c>
      <c r="CR10" s="29">
        <f>IF(CR$3=Models!$H$21,Models!$H$23,0)+IF(CR$3=Models!$H$24,Models!$H$26,0)</f>
        <v/>
      </c>
      <c r="CS10" s="29">
        <f>IF(CS$3=Models!$H$21,Models!$H$23,0)+IF(CS$3=Models!$H$24,Models!$H$26,0)</f>
        <v/>
      </c>
      <c r="CT10" s="29">
        <f>IF(CT$3=Models!$H$21,Models!$H$23,0)+IF(CT$3=Models!$H$24,Models!$H$26,0)</f>
        <v/>
      </c>
      <c r="CU10" s="29">
        <f>IF(CU$3=Models!$H$21,Models!$H$23,0)+IF(CU$3=Models!$H$24,Models!$H$26,0)</f>
        <v/>
      </c>
      <c r="CV10" s="29">
        <f>IF(CV$3=Models!$H$21,Models!$H$23,0)+IF(CV$3=Models!$H$24,Models!$H$26,0)</f>
        <v/>
      </c>
      <c r="CW10" s="29">
        <f>IF(CW$3=Models!$H$21,Models!$H$23,0)+IF(CW$3=Models!$H$24,Models!$H$26,0)</f>
        <v/>
      </c>
      <c r="CX10" s="29">
        <f>IF(CX$3=Models!$H$21,Models!$H$23,0)+IF(CX$3=Models!$H$24,Models!$H$26,0)</f>
        <v/>
      </c>
      <c r="CY10" s="29">
        <f>IF(CY$3=Models!$H$21,Models!$H$23,0)+IF(CY$3=Models!$H$24,Models!$H$26,0)</f>
        <v/>
      </c>
      <c r="CZ10" s="29">
        <f>IF(CZ$3=Models!$H$21,Models!$H$23,0)+IF(CZ$3=Models!$H$24,Models!$H$26,0)</f>
        <v/>
      </c>
      <c r="DA10" s="29">
        <f>IF(DA$3=Models!$H$21,Models!$H$23,0)+IF(DA$3=Models!$H$24,Models!$H$26,0)</f>
        <v/>
      </c>
      <c r="DB10" s="29">
        <f>IF(DB$3=Models!$H$21,Models!$H$23,0)+IF(DB$3=Models!$H$24,Models!$H$26,0)</f>
        <v/>
      </c>
      <c r="DC10" s="29">
        <f>IF(DC$3=Models!$H$21,Models!$H$23,0)+IF(DC$3=Models!$H$24,Models!$H$26,0)</f>
        <v/>
      </c>
      <c r="DD10" s="29">
        <f>IF(DD$3=Models!$H$21,Models!$H$23,0)+IF(DD$3=Models!$H$24,Models!$H$26,0)</f>
        <v/>
      </c>
      <c r="DE10" s="29">
        <f>IF(DE$3=Models!$H$21,Models!$H$23,0)+IF(DE$3=Models!$H$24,Models!$H$26,0)</f>
        <v/>
      </c>
      <c r="DF10" s="29">
        <f>IF(DF$3=Models!$H$21,Models!$H$23,0)+IF(DF$3=Models!$H$24,Models!$H$26,0)</f>
        <v/>
      </c>
      <c r="DG10" s="29">
        <f>IF(DG$3=Models!$H$21,Models!$H$23,0)+IF(DG$3=Models!$H$24,Models!$H$26,0)</f>
        <v/>
      </c>
      <c r="DH10" s="29">
        <f>IF(DH$3=Models!$H$21,Models!$H$23,0)+IF(DH$3=Models!$H$24,Models!$H$26,0)</f>
        <v/>
      </c>
      <c r="DI10" s="29">
        <f>IF(DI$3=Models!$H$21,Models!$H$23,0)+IF(DI$3=Models!$H$24,Models!$H$26,0)</f>
        <v/>
      </c>
      <c r="DJ10" s="29">
        <f>IF(DJ$3=Models!$H$21,Models!$H$23,0)+IF(DJ$3=Models!$H$24,Models!$H$26,0)</f>
        <v/>
      </c>
      <c r="DK10" s="29">
        <f>IF(DK$3=Models!$H$21,Models!$H$23,0)+IF(DK$3=Models!$H$24,Models!$H$26,0)</f>
        <v/>
      </c>
      <c r="DL10" s="29">
        <f>IF(DL$3=Models!$H$21,Models!$H$23,0)+IF(DL$3=Models!$H$24,Models!$H$26,0)</f>
        <v/>
      </c>
      <c r="DM10" s="29">
        <f>IF(DM$3=Models!$H$21,Models!$H$23,0)+IF(DM$3=Models!$H$24,Models!$H$26,0)</f>
        <v/>
      </c>
      <c r="DN10" s="29">
        <f>IF(DN$3=Models!$H$21,Models!$H$23,0)+IF(DN$3=Models!$H$24,Models!$H$26,0)</f>
        <v/>
      </c>
      <c r="DO10" s="29">
        <f>IF(DO$3=Models!$H$21,Models!$H$23,0)+IF(DO$3=Models!$H$24,Models!$H$26,0)</f>
        <v/>
      </c>
      <c r="DP10" s="29">
        <f>IF(DP$3=Models!$H$21,Models!$H$23,0)+IF(DP$3=Models!$H$24,Models!$H$26,0)</f>
        <v/>
      </c>
      <c r="DQ10" s="29">
        <f>IF(DQ$3=Models!$H$21,Models!$H$23,0)+IF(DQ$3=Models!$H$24,Models!$H$26,0)</f>
        <v/>
      </c>
      <c r="DR10" s="29">
        <f>IF(DR$3=Models!$H$21,Models!$H$23,0)+IF(DR$3=Models!$H$24,Models!$H$26,0)</f>
        <v/>
      </c>
      <c r="DS10" s="29">
        <f>IF(DS$3=Models!$H$21,Models!$H$23,0)+IF(DS$3=Models!$H$24,Models!$H$26,0)</f>
        <v/>
      </c>
    </row>
    <row r="11">
      <c r="A11" s="2" t="inlineStr">
        <is>
          <t>GT_FOPEN</t>
        </is>
      </c>
      <c r="B11" s="6" t="inlineStr">
        <is>
          <t>Breeding females, opening</t>
        </is>
      </c>
      <c r="C11" s="2" t="inlineStr">
        <is>
          <t>head</t>
        </is>
      </c>
      <c r="D11" s="29">
        <f>0</f>
        <v/>
      </c>
      <c r="E11" s="29">
        <f>D18</f>
        <v/>
      </c>
      <c r="F11" s="29">
        <f>E18</f>
        <v/>
      </c>
      <c r="G11" s="29">
        <f>F18</f>
        <v/>
      </c>
      <c r="H11" s="29">
        <f>G18</f>
        <v/>
      </c>
      <c r="I11" s="29">
        <f>H18</f>
        <v/>
      </c>
      <c r="J11" s="29">
        <f>I18</f>
        <v/>
      </c>
      <c r="K11" s="29">
        <f>J18</f>
        <v/>
      </c>
      <c r="L11" s="29">
        <f>K18</f>
        <v/>
      </c>
      <c r="M11" s="29">
        <f>L18</f>
        <v/>
      </c>
      <c r="N11" s="29">
        <f>M18</f>
        <v/>
      </c>
      <c r="O11" s="29">
        <f>N18</f>
        <v/>
      </c>
      <c r="P11" s="29">
        <f>O18</f>
        <v/>
      </c>
      <c r="Q11" s="29">
        <f>P18</f>
        <v/>
      </c>
      <c r="R11" s="29">
        <f>Q18</f>
        <v/>
      </c>
      <c r="S11" s="29">
        <f>R18</f>
        <v/>
      </c>
      <c r="T11" s="29">
        <f>S18</f>
        <v/>
      </c>
      <c r="U11" s="29">
        <f>T18</f>
        <v/>
      </c>
      <c r="V11" s="29">
        <f>U18</f>
        <v/>
      </c>
      <c r="W11" s="29">
        <f>V18</f>
        <v/>
      </c>
      <c r="X11" s="29">
        <f>W18</f>
        <v/>
      </c>
      <c r="Y11" s="29">
        <f>X18</f>
        <v/>
      </c>
      <c r="Z11" s="29">
        <f>Y18</f>
        <v/>
      </c>
      <c r="AA11" s="29">
        <f>Z18</f>
        <v/>
      </c>
      <c r="AB11" s="29">
        <f>AA18</f>
        <v/>
      </c>
      <c r="AC11" s="29">
        <f>AB18</f>
        <v/>
      </c>
      <c r="AD11" s="29">
        <f>AC18</f>
        <v/>
      </c>
      <c r="AE11" s="29">
        <f>AD18</f>
        <v/>
      </c>
      <c r="AF11" s="29">
        <f>AE18</f>
        <v/>
      </c>
      <c r="AG11" s="29">
        <f>AF18</f>
        <v/>
      </c>
      <c r="AH11" s="29">
        <f>AG18</f>
        <v/>
      </c>
      <c r="AI11" s="29">
        <f>AH18</f>
        <v/>
      </c>
      <c r="AJ11" s="29">
        <f>AI18</f>
        <v/>
      </c>
      <c r="AK11" s="29">
        <f>AJ18</f>
        <v/>
      </c>
      <c r="AL11" s="29">
        <f>AK18</f>
        <v/>
      </c>
      <c r="AM11" s="29">
        <f>AL18</f>
        <v/>
      </c>
      <c r="AN11" s="29">
        <f>AM18</f>
        <v/>
      </c>
      <c r="AO11" s="29">
        <f>AN18</f>
        <v/>
      </c>
      <c r="AP11" s="29">
        <f>AO18</f>
        <v/>
      </c>
      <c r="AQ11" s="29">
        <f>AP18</f>
        <v/>
      </c>
      <c r="AR11" s="29">
        <f>AQ18</f>
        <v/>
      </c>
      <c r="AS11" s="29">
        <f>AR18</f>
        <v/>
      </c>
      <c r="AT11" s="29">
        <f>AS18</f>
        <v/>
      </c>
      <c r="AU11" s="29">
        <f>AT18</f>
        <v/>
      </c>
      <c r="AV11" s="29">
        <f>AU18</f>
        <v/>
      </c>
      <c r="AW11" s="29">
        <f>AV18</f>
        <v/>
      </c>
      <c r="AX11" s="29">
        <f>AW18</f>
        <v/>
      </c>
      <c r="AY11" s="29">
        <f>AX18</f>
        <v/>
      </c>
      <c r="AZ11" s="29">
        <f>AY18</f>
        <v/>
      </c>
      <c r="BA11" s="29">
        <f>AZ18</f>
        <v/>
      </c>
      <c r="BB11" s="29">
        <f>BA18</f>
        <v/>
      </c>
      <c r="BC11" s="29">
        <f>BB18</f>
        <v/>
      </c>
      <c r="BD11" s="29">
        <f>BC18</f>
        <v/>
      </c>
      <c r="BE11" s="29">
        <f>BD18</f>
        <v/>
      </c>
      <c r="BF11" s="29">
        <f>BE18</f>
        <v/>
      </c>
      <c r="BG11" s="29">
        <f>BF18</f>
        <v/>
      </c>
      <c r="BH11" s="29">
        <f>BG18</f>
        <v/>
      </c>
      <c r="BI11" s="29">
        <f>BH18</f>
        <v/>
      </c>
      <c r="BJ11" s="29">
        <f>BI18</f>
        <v/>
      </c>
      <c r="BK11" s="29">
        <f>BJ18</f>
        <v/>
      </c>
      <c r="BL11" s="29">
        <f>BK18</f>
        <v/>
      </c>
      <c r="BM11" s="29">
        <f>BL18</f>
        <v/>
      </c>
      <c r="BN11" s="29">
        <f>BM18</f>
        <v/>
      </c>
      <c r="BO11" s="29">
        <f>BN18</f>
        <v/>
      </c>
      <c r="BP11" s="29">
        <f>BO18</f>
        <v/>
      </c>
      <c r="BQ11" s="29">
        <f>BP18</f>
        <v/>
      </c>
      <c r="BR11" s="29">
        <f>BQ18</f>
        <v/>
      </c>
      <c r="BS11" s="29">
        <f>BR18</f>
        <v/>
      </c>
      <c r="BT11" s="29">
        <f>BS18</f>
        <v/>
      </c>
      <c r="BU11" s="29">
        <f>BT18</f>
        <v/>
      </c>
      <c r="BV11" s="29">
        <f>BU18</f>
        <v/>
      </c>
      <c r="BW11" s="29">
        <f>BV18</f>
        <v/>
      </c>
      <c r="BX11" s="29">
        <f>BW18</f>
        <v/>
      </c>
      <c r="BY11" s="29">
        <f>BX18</f>
        <v/>
      </c>
      <c r="BZ11" s="29">
        <f>BY18</f>
        <v/>
      </c>
      <c r="CA11" s="29">
        <f>BZ18</f>
        <v/>
      </c>
      <c r="CB11" s="29">
        <f>CA18</f>
        <v/>
      </c>
      <c r="CC11" s="29">
        <f>CB18</f>
        <v/>
      </c>
      <c r="CD11" s="29">
        <f>CC18</f>
        <v/>
      </c>
      <c r="CE11" s="29">
        <f>CD18</f>
        <v/>
      </c>
      <c r="CF11" s="29">
        <f>CE18</f>
        <v/>
      </c>
      <c r="CG11" s="29">
        <f>CF18</f>
        <v/>
      </c>
      <c r="CH11" s="29">
        <f>CG18</f>
        <v/>
      </c>
      <c r="CI11" s="29">
        <f>CH18</f>
        <v/>
      </c>
      <c r="CJ11" s="29">
        <f>CI18</f>
        <v/>
      </c>
      <c r="CK11" s="29">
        <f>CJ18</f>
        <v/>
      </c>
      <c r="CL11" s="29">
        <f>CK18</f>
        <v/>
      </c>
      <c r="CM11" s="29">
        <f>CL18</f>
        <v/>
      </c>
      <c r="CN11" s="29">
        <f>CM18</f>
        <v/>
      </c>
      <c r="CO11" s="29">
        <f>CN18</f>
        <v/>
      </c>
      <c r="CP11" s="29">
        <f>CO18</f>
        <v/>
      </c>
      <c r="CQ11" s="29">
        <f>CP18</f>
        <v/>
      </c>
      <c r="CR11" s="29">
        <f>CQ18</f>
        <v/>
      </c>
      <c r="CS11" s="29">
        <f>CR18</f>
        <v/>
      </c>
      <c r="CT11" s="29">
        <f>CS18</f>
        <v/>
      </c>
      <c r="CU11" s="29">
        <f>CT18</f>
        <v/>
      </c>
      <c r="CV11" s="29">
        <f>CU18</f>
        <v/>
      </c>
      <c r="CW11" s="29">
        <f>CV18</f>
        <v/>
      </c>
      <c r="CX11" s="29">
        <f>CW18</f>
        <v/>
      </c>
      <c r="CY11" s="29">
        <f>CX18</f>
        <v/>
      </c>
      <c r="CZ11" s="29">
        <f>CY18</f>
        <v/>
      </c>
      <c r="DA11" s="29">
        <f>CZ18</f>
        <v/>
      </c>
      <c r="DB11" s="29">
        <f>DA18</f>
        <v/>
      </c>
      <c r="DC11" s="29">
        <f>DB18</f>
        <v/>
      </c>
      <c r="DD11" s="29">
        <f>DC18</f>
        <v/>
      </c>
      <c r="DE11" s="29">
        <f>DD18</f>
        <v/>
      </c>
      <c r="DF11" s="29">
        <f>DE18</f>
        <v/>
      </c>
      <c r="DG11" s="29">
        <f>DF18</f>
        <v/>
      </c>
      <c r="DH11" s="29">
        <f>DG18</f>
        <v/>
      </c>
      <c r="DI11" s="29">
        <f>DH18</f>
        <v/>
      </c>
      <c r="DJ11" s="29">
        <f>DI18</f>
        <v/>
      </c>
      <c r="DK11" s="29">
        <f>DJ18</f>
        <v/>
      </c>
      <c r="DL11" s="29">
        <f>DK18</f>
        <v/>
      </c>
      <c r="DM11" s="29">
        <f>DL18</f>
        <v/>
      </c>
      <c r="DN11" s="29">
        <f>DM18</f>
        <v/>
      </c>
      <c r="DO11" s="29">
        <f>DN18</f>
        <v/>
      </c>
      <c r="DP11" s="29">
        <f>DO18</f>
        <v/>
      </c>
      <c r="DQ11" s="29">
        <f>DP18</f>
        <v/>
      </c>
      <c r="DR11" s="29">
        <f>DQ18</f>
        <v/>
      </c>
      <c r="DS11" s="29">
        <f>DR18</f>
        <v/>
      </c>
    </row>
    <row r="12">
      <c r="A12" s="2" t="inlineStr">
        <is>
          <t>GT_FDEATH</t>
        </is>
      </c>
      <c r="B12" s="6" t="inlineStr">
        <is>
          <t>Female deaths</t>
        </is>
      </c>
      <c r="C12" s="2" t="inlineStr">
        <is>
          <t>head</t>
        </is>
      </c>
      <c r="D12" s="22">
        <f>D11*MIN(1,Assumptions!$H$73*Sensitivity!$C$8)/12</f>
        <v/>
      </c>
      <c r="E12" s="22">
        <f>E11*MIN(1,Assumptions!$H$73*Sensitivity!$C$8)/12</f>
        <v/>
      </c>
      <c r="F12" s="22">
        <f>F11*MIN(1,Assumptions!$H$73*Sensitivity!$C$8)/12</f>
        <v/>
      </c>
      <c r="G12" s="22">
        <f>G11*MIN(1,Assumptions!$H$73*Sensitivity!$C$8)/12</f>
        <v/>
      </c>
      <c r="H12" s="22">
        <f>H11*MIN(1,Assumptions!$H$73*Sensitivity!$C$8)/12</f>
        <v/>
      </c>
      <c r="I12" s="22">
        <f>I11*MIN(1,Assumptions!$H$73*Sensitivity!$C$8)/12</f>
        <v/>
      </c>
      <c r="J12" s="22">
        <f>J11*MIN(1,Assumptions!$H$73*Sensitivity!$C$8)/12</f>
        <v/>
      </c>
      <c r="K12" s="22">
        <f>K11*MIN(1,Assumptions!$H$73*Sensitivity!$C$8)/12</f>
        <v/>
      </c>
      <c r="L12" s="22">
        <f>L11*MIN(1,Assumptions!$H$73*Sensitivity!$C$8)/12</f>
        <v/>
      </c>
      <c r="M12" s="22">
        <f>M11*MIN(1,Assumptions!$H$73*Sensitivity!$C$8)/12</f>
        <v/>
      </c>
      <c r="N12" s="22">
        <f>N11*MIN(1,Assumptions!$H$73*Sensitivity!$C$8)/12</f>
        <v/>
      </c>
      <c r="O12" s="22">
        <f>O11*MIN(1,Assumptions!$H$73*Sensitivity!$C$8)/12</f>
        <v/>
      </c>
      <c r="P12" s="22">
        <f>P11*MIN(1,Assumptions!$H$73*Sensitivity!$C$8)/12</f>
        <v/>
      </c>
      <c r="Q12" s="22">
        <f>Q11*MIN(1,Assumptions!$H$73*Sensitivity!$C$8)/12</f>
        <v/>
      </c>
      <c r="R12" s="22">
        <f>R11*MIN(1,Assumptions!$H$73*Sensitivity!$C$8)/12</f>
        <v/>
      </c>
      <c r="S12" s="22">
        <f>S11*MIN(1,Assumptions!$H$73*Sensitivity!$C$8)/12</f>
        <v/>
      </c>
      <c r="T12" s="22">
        <f>T11*MIN(1,Assumptions!$H$73*Sensitivity!$C$8)/12</f>
        <v/>
      </c>
      <c r="U12" s="22">
        <f>U11*MIN(1,Assumptions!$H$73*Sensitivity!$C$8)/12</f>
        <v/>
      </c>
      <c r="V12" s="22">
        <f>V11*MIN(1,Assumptions!$H$73*Sensitivity!$C$8)/12</f>
        <v/>
      </c>
      <c r="W12" s="22">
        <f>W11*MIN(1,Assumptions!$H$73*Sensitivity!$C$8)/12</f>
        <v/>
      </c>
      <c r="X12" s="22">
        <f>X11*MIN(1,Assumptions!$H$73*Sensitivity!$C$8)/12</f>
        <v/>
      </c>
      <c r="Y12" s="22">
        <f>Y11*MIN(1,Assumptions!$H$73*Sensitivity!$C$8)/12</f>
        <v/>
      </c>
      <c r="Z12" s="22">
        <f>Z11*MIN(1,Assumptions!$H$73*Sensitivity!$C$8)/12</f>
        <v/>
      </c>
      <c r="AA12" s="22">
        <f>AA11*MIN(1,Assumptions!$H$73*Sensitivity!$C$8)/12</f>
        <v/>
      </c>
      <c r="AB12" s="22">
        <f>AB11*MIN(1,Assumptions!$H$73*Sensitivity!$C$8)/12</f>
        <v/>
      </c>
      <c r="AC12" s="22">
        <f>AC11*MIN(1,Assumptions!$H$73*Sensitivity!$C$8)/12</f>
        <v/>
      </c>
      <c r="AD12" s="22">
        <f>AD11*MIN(1,Assumptions!$H$73*Sensitivity!$C$8)/12</f>
        <v/>
      </c>
      <c r="AE12" s="22">
        <f>AE11*MIN(1,Assumptions!$H$73*Sensitivity!$C$8)/12</f>
        <v/>
      </c>
      <c r="AF12" s="22">
        <f>AF11*MIN(1,Assumptions!$H$73*Sensitivity!$C$8)/12</f>
        <v/>
      </c>
      <c r="AG12" s="22">
        <f>AG11*MIN(1,Assumptions!$H$73*Sensitivity!$C$8)/12</f>
        <v/>
      </c>
      <c r="AH12" s="22">
        <f>AH11*MIN(1,Assumptions!$H$73*Sensitivity!$C$8)/12</f>
        <v/>
      </c>
      <c r="AI12" s="22">
        <f>AI11*MIN(1,Assumptions!$H$73*Sensitivity!$C$8)/12</f>
        <v/>
      </c>
      <c r="AJ12" s="22">
        <f>AJ11*MIN(1,Assumptions!$H$73*Sensitivity!$C$8)/12</f>
        <v/>
      </c>
      <c r="AK12" s="22">
        <f>AK11*MIN(1,Assumptions!$H$73*Sensitivity!$C$8)/12</f>
        <v/>
      </c>
      <c r="AL12" s="22">
        <f>AL11*MIN(1,Assumptions!$H$73*Sensitivity!$C$8)/12</f>
        <v/>
      </c>
      <c r="AM12" s="22">
        <f>AM11*MIN(1,Assumptions!$H$73*Sensitivity!$C$8)/12</f>
        <v/>
      </c>
      <c r="AN12" s="22">
        <f>AN11*MIN(1,Assumptions!$H$73*Sensitivity!$C$8)/12</f>
        <v/>
      </c>
      <c r="AO12" s="22">
        <f>AO11*MIN(1,Assumptions!$H$73*Sensitivity!$C$8)/12</f>
        <v/>
      </c>
      <c r="AP12" s="22">
        <f>AP11*MIN(1,Assumptions!$H$73*Sensitivity!$C$8)/12</f>
        <v/>
      </c>
      <c r="AQ12" s="22">
        <f>AQ11*MIN(1,Assumptions!$H$73*Sensitivity!$C$8)/12</f>
        <v/>
      </c>
      <c r="AR12" s="22">
        <f>AR11*MIN(1,Assumptions!$H$73*Sensitivity!$C$8)/12</f>
        <v/>
      </c>
      <c r="AS12" s="22">
        <f>AS11*MIN(1,Assumptions!$H$73*Sensitivity!$C$8)/12</f>
        <v/>
      </c>
      <c r="AT12" s="22">
        <f>AT11*MIN(1,Assumptions!$H$73*Sensitivity!$C$8)/12</f>
        <v/>
      </c>
      <c r="AU12" s="22">
        <f>AU11*MIN(1,Assumptions!$H$73*Sensitivity!$C$8)/12</f>
        <v/>
      </c>
      <c r="AV12" s="22">
        <f>AV11*MIN(1,Assumptions!$H$73*Sensitivity!$C$8)/12</f>
        <v/>
      </c>
      <c r="AW12" s="22">
        <f>AW11*MIN(1,Assumptions!$H$73*Sensitivity!$C$8)/12</f>
        <v/>
      </c>
      <c r="AX12" s="22">
        <f>AX11*MIN(1,Assumptions!$H$73*Sensitivity!$C$8)/12</f>
        <v/>
      </c>
      <c r="AY12" s="22">
        <f>AY11*MIN(1,Assumptions!$H$73*Sensitivity!$C$8)/12</f>
        <v/>
      </c>
      <c r="AZ12" s="22">
        <f>AZ11*MIN(1,Assumptions!$H$73*Sensitivity!$C$8)/12</f>
        <v/>
      </c>
      <c r="BA12" s="22">
        <f>BA11*MIN(1,Assumptions!$H$73*Sensitivity!$C$8)/12</f>
        <v/>
      </c>
      <c r="BB12" s="22">
        <f>BB11*MIN(1,Assumptions!$H$73*Sensitivity!$C$8)/12</f>
        <v/>
      </c>
      <c r="BC12" s="22">
        <f>BC11*MIN(1,Assumptions!$H$73*Sensitivity!$C$8)/12</f>
        <v/>
      </c>
      <c r="BD12" s="22">
        <f>BD11*MIN(1,Assumptions!$H$73*Sensitivity!$C$8)/12</f>
        <v/>
      </c>
      <c r="BE12" s="22">
        <f>BE11*MIN(1,Assumptions!$H$73*Sensitivity!$C$8)/12</f>
        <v/>
      </c>
      <c r="BF12" s="22">
        <f>BF11*MIN(1,Assumptions!$H$73*Sensitivity!$C$8)/12</f>
        <v/>
      </c>
      <c r="BG12" s="22">
        <f>BG11*MIN(1,Assumptions!$H$73*Sensitivity!$C$8)/12</f>
        <v/>
      </c>
      <c r="BH12" s="22">
        <f>BH11*MIN(1,Assumptions!$H$73*Sensitivity!$C$8)/12</f>
        <v/>
      </c>
      <c r="BI12" s="22">
        <f>BI11*MIN(1,Assumptions!$H$73*Sensitivity!$C$8)/12</f>
        <v/>
      </c>
      <c r="BJ12" s="22">
        <f>BJ11*MIN(1,Assumptions!$H$73*Sensitivity!$C$8)/12</f>
        <v/>
      </c>
      <c r="BK12" s="22">
        <f>BK11*MIN(1,Assumptions!$H$73*Sensitivity!$C$8)/12</f>
        <v/>
      </c>
      <c r="BL12" s="22">
        <f>BL11*MIN(1,Assumptions!$H$73*Sensitivity!$C$8)/12</f>
        <v/>
      </c>
      <c r="BM12" s="22">
        <f>BM11*MIN(1,Assumptions!$H$73*Sensitivity!$C$8)/12</f>
        <v/>
      </c>
      <c r="BN12" s="22">
        <f>BN11*MIN(1,Assumptions!$H$73*Sensitivity!$C$8)/12</f>
        <v/>
      </c>
      <c r="BO12" s="22">
        <f>BO11*MIN(1,Assumptions!$H$73*Sensitivity!$C$8)/12</f>
        <v/>
      </c>
      <c r="BP12" s="22">
        <f>BP11*MIN(1,Assumptions!$H$73*Sensitivity!$C$8)/12</f>
        <v/>
      </c>
      <c r="BQ12" s="22">
        <f>BQ11*MIN(1,Assumptions!$H$73*Sensitivity!$C$8)/12</f>
        <v/>
      </c>
      <c r="BR12" s="22">
        <f>BR11*MIN(1,Assumptions!$H$73*Sensitivity!$C$8)/12</f>
        <v/>
      </c>
      <c r="BS12" s="22">
        <f>BS11*MIN(1,Assumptions!$H$73*Sensitivity!$C$8)/12</f>
        <v/>
      </c>
      <c r="BT12" s="22">
        <f>BT11*MIN(1,Assumptions!$H$73*Sensitivity!$C$8)/12</f>
        <v/>
      </c>
      <c r="BU12" s="22">
        <f>BU11*MIN(1,Assumptions!$H$73*Sensitivity!$C$8)/12</f>
        <v/>
      </c>
      <c r="BV12" s="22">
        <f>BV11*MIN(1,Assumptions!$H$73*Sensitivity!$C$8)/12</f>
        <v/>
      </c>
      <c r="BW12" s="22">
        <f>BW11*MIN(1,Assumptions!$H$73*Sensitivity!$C$8)/12</f>
        <v/>
      </c>
      <c r="BX12" s="22">
        <f>BX11*MIN(1,Assumptions!$H$73*Sensitivity!$C$8)/12</f>
        <v/>
      </c>
      <c r="BY12" s="22">
        <f>BY11*MIN(1,Assumptions!$H$73*Sensitivity!$C$8)/12</f>
        <v/>
      </c>
      <c r="BZ12" s="22">
        <f>BZ11*MIN(1,Assumptions!$H$73*Sensitivity!$C$8)/12</f>
        <v/>
      </c>
      <c r="CA12" s="22">
        <f>CA11*MIN(1,Assumptions!$H$73*Sensitivity!$C$8)/12</f>
        <v/>
      </c>
      <c r="CB12" s="22">
        <f>CB11*MIN(1,Assumptions!$H$73*Sensitivity!$C$8)/12</f>
        <v/>
      </c>
      <c r="CC12" s="22">
        <f>CC11*MIN(1,Assumptions!$H$73*Sensitivity!$C$8)/12</f>
        <v/>
      </c>
      <c r="CD12" s="22">
        <f>CD11*MIN(1,Assumptions!$H$73*Sensitivity!$C$8)/12</f>
        <v/>
      </c>
      <c r="CE12" s="22">
        <f>CE11*MIN(1,Assumptions!$H$73*Sensitivity!$C$8)/12</f>
        <v/>
      </c>
      <c r="CF12" s="22">
        <f>CF11*MIN(1,Assumptions!$H$73*Sensitivity!$C$8)/12</f>
        <v/>
      </c>
      <c r="CG12" s="22">
        <f>CG11*MIN(1,Assumptions!$H$73*Sensitivity!$C$8)/12</f>
        <v/>
      </c>
      <c r="CH12" s="22">
        <f>CH11*MIN(1,Assumptions!$H$73*Sensitivity!$C$8)/12</f>
        <v/>
      </c>
      <c r="CI12" s="22">
        <f>CI11*MIN(1,Assumptions!$H$73*Sensitivity!$C$8)/12</f>
        <v/>
      </c>
      <c r="CJ12" s="22">
        <f>CJ11*MIN(1,Assumptions!$H$73*Sensitivity!$C$8)/12</f>
        <v/>
      </c>
      <c r="CK12" s="22">
        <f>CK11*MIN(1,Assumptions!$H$73*Sensitivity!$C$8)/12</f>
        <v/>
      </c>
      <c r="CL12" s="22">
        <f>CL11*MIN(1,Assumptions!$H$73*Sensitivity!$C$8)/12</f>
        <v/>
      </c>
      <c r="CM12" s="22">
        <f>CM11*MIN(1,Assumptions!$H$73*Sensitivity!$C$8)/12</f>
        <v/>
      </c>
      <c r="CN12" s="22">
        <f>CN11*MIN(1,Assumptions!$H$73*Sensitivity!$C$8)/12</f>
        <v/>
      </c>
      <c r="CO12" s="22">
        <f>CO11*MIN(1,Assumptions!$H$73*Sensitivity!$C$8)/12</f>
        <v/>
      </c>
      <c r="CP12" s="22">
        <f>CP11*MIN(1,Assumptions!$H$73*Sensitivity!$C$8)/12</f>
        <v/>
      </c>
      <c r="CQ12" s="22">
        <f>CQ11*MIN(1,Assumptions!$H$73*Sensitivity!$C$8)/12</f>
        <v/>
      </c>
      <c r="CR12" s="22">
        <f>CR11*MIN(1,Assumptions!$H$73*Sensitivity!$C$8)/12</f>
        <v/>
      </c>
      <c r="CS12" s="22">
        <f>CS11*MIN(1,Assumptions!$H$73*Sensitivity!$C$8)/12</f>
        <v/>
      </c>
      <c r="CT12" s="22">
        <f>CT11*MIN(1,Assumptions!$H$73*Sensitivity!$C$8)/12</f>
        <v/>
      </c>
      <c r="CU12" s="22">
        <f>CU11*MIN(1,Assumptions!$H$73*Sensitivity!$C$8)/12</f>
        <v/>
      </c>
      <c r="CV12" s="22">
        <f>CV11*MIN(1,Assumptions!$H$73*Sensitivity!$C$8)/12</f>
        <v/>
      </c>
      <c r="CW12" s="22">
        <f>CW11*MIN(1,Assumptions!$H$73*Sensitivity!$C$8)/12</f>
        <v/>
      </c>
      <c r="CX12" s="22">
        <f>CX11*MIN(1,Assumptions!$H$73*Sensitivity!$C$8)/12</f>
        <v/>
      </c>
      <c r="CY12" s="22">
        <f>CY11*MIN(1,Assumptions!$H$73*Sensitivity!$C$8)/12</f>
        <v/>
      </c>
      <c r="CZ12" s="22">
        <f>CZ11*MIN(1,Assumptions!$H$73*Sensitivity!$C$8)/12</f>
        <v/>
      </c>
      <c r="DA12" s="22">
        <f>DA11*MIN(1,Assumptions!$H$73*Sensitivity!$C$8)/12</f>
        <v/>
      </c>
      <c r="DB12" s="22">
        <f>DB11*MIN(1,Assumptions!$H$73*Sensitivity!$C$8)/12</f>
        <v/>
      </c>
      <c r="DC12" s="22">
        <f>DC11*MIN(1,Assumptions!$H$73*Sensitivity!$C$8)/12</f>
        <v/>
      </c>
      <c r="DD12" s="22">
        <f>DD11*MIN(1,Assumptions!$H$73*Sensitivity!$C$8)/12</f>
        <v/>
      </c>
      <c r="DE12" s="22">
        <f>DE11*MIN(1,Assumptions!$H$73*Sensitivity!$C$8)/12</f>
        <v/>
      </c>
      <c r="DF12" s="22">
        <f>DF11*MIN(1,Assumptions!$H$73*Sensitivity!$C$8)/12</f>
        <v/>
      </c>
      <c r="DG12" s="22">
        <f>DG11*MIN(1,Assumptions!$H$73*Sensitivity!$C$8)/12</f>
        <v/>
      </c>
      <c r="DH12" s="22">
        <f>DH11*MIN(1,Assumptions!$H$73*Sensitivity!$C$8)/12</f>
        <v/>
      </c>
      <c r="DI12" s="22">
        <f>DI11*MIN(1,Assumptions!$H$73*Sensitivity!$C$8)/12</f>
        <v/>
      </c>
      <c r="DJ12" s="22">
        <f>DJ11*MIN(1,Assumptions!$H$73*Sensitivity!$C$8)/12</f>
        <v/>
      </c>
      <c r="DK12" s="22">
        <f>DK11*MIN(1,Assumptions!$H$73*Sensitivity!$C$8)/12</f>
        <v/>
      </c>
      <c r="DL12" s="22">
        <f>DL11*MIN(1,Assumptions!$H$73*Sensitivity!$C$8)/12</f>
        <v/>
      </c>
      <c r="DM12" s="22">
        <f>DM11*MIN(1,Assumptions!$H$73*Sensitivity!$C$8)/12</f>
        <v/>
      </c>
      <c r="DN12" s="22">
        <f>DN11*MIN(1,Assumptions!$H$73*Sensitivity!$C$8)/12</f>
        <v/>
      </c>
      <c r="DO12" s="22">
        <f>DO11*MIN(1,Assumptions!$H$73*Sensitivity!$C$8)/12</f>
        <v/>
      </c>
      <c r="DP12" s="22">
        <f>DP11*MIN(1,Assumptions!$H$73*Sensitivity!$C$8)/12</f>
        <v/>
      </c>
      <c r="DQ12" s="22">
        <f>DQ11*MIN(1,Assumptions!$H$73*Sensitivity!$C$8)/12</f>
        <v/>
      </c>
      <c r="DR12" s="22">
        <f>DR11*MIN(1,Assumptions!$H$73*Sensitivity!$C$8)/12</f>
        <v/>
      </c>
      <c r="DS12" s="22">
        <f>DS11*MIN(1,Assumptions!$H$73*Sensitivity!$C$8)/12</f>
        <v/>
      </c>
    </row>
    <row r="13">
      <c r="A13" s="2" t="inlineStr">
        <is>
          <t>GT_FCULL</t>
        </is>
      </c>
      <c r="B13" s="6" t="inlineStr">
        <is>
          <t>Females culled (sold)</t>
        </is>
      </c>
      <c r="C13" s="2" t="inlineStr">
        <is>
          <t>head</t>
        </is>
      </c>
      <c r="D13" s="22">
        <f>D11*Assumptions!$H$77/12</f>
        <v/>
      </c>
      <c r="E13" s="22">
        <f>E11*Assumptions!$H$77/12</f>
        <v/>
      </c>
      <c r="F13" s="22">
        <f>F11*Assumptions!$H$77/12</f>
        <v/>
      </c>
      <c r="G13" s="22">
        <f>G11*Assumptions!$H$77/12</f>
        <v/>
      </c>
      <c r="H13" s="22">
        <f>H11*Assumptions!$H$77/12</f>
        <v/>
      </c>
      <c r="I13" s="22">
        <f>I11*Assumptions!$H$77/12</f>
        <v/>
      </c>
      <c r="J13" s="22">
        <f>J11*Assumptions!$H$77/12</f>
        <v/>
      </c>
      <c r="K13" s="22">
        <f>K11*Assumptions!$H$77/12</f>
        <v/>
      </c>
      <c r="L13" s="22">
        <f>L11*Assumptions!$H$77/12</f>
        <v/>
      </c>
      <c r="M13" s="22">
        <f>M11*Assumptions!$H$77/12</f>
        <v/>
      </c>
      <c r="N13" s="22">
        <f>N11*Assumptions!$H$77/12</f>
        <v/>
      </c>
      <c r="O13" s="22">
        <f>O11*Assumptions!$H$77/12</f>
        <v/>
      </c>
      <c r="P13" s="22">
        <f>P11*Assumptions!$H$77/12</f>
        <v/>
      </c>
      <c r="Q13" s="22">
        <f>Q11*Assumptions!$H$77/12</f>
        <v/>
      </c>
      <c r="R13" s="22">
        <f>R11*Assumptions!$H$77/12</f>
        <v/>
      </c>
      <c r="S13" s="22">
        <f>S11*Assumptions!$H$77/12</f>
        <v/>
      </c>
      <c r="T13" s="22">
        <f>T11*Assumptions!$H$77/12</f>
        <v/>
      </c>
      <c r="U13" s="22">
        <f>U11*Assumptions!$H$77/12</f>
        <v/>
      </c>
      <c r="V13" s="22">
        <f>V11*Assumptions!$H$77/12</f>
        <v/>
      </c>
      <c r="W13" s="22">
        <f>W11*Assumptions!$H$77/12</f>
        <v/>
      </c>
      <c r="X13" s="22">
        <f>X11*Assumptions!$H$77/12</f>
        <v/>
      </c>
      <c r="Y13" s="22">
        <f>Y11*Assumptions!$H$77/12</f>
        <v/>
      </c>
      <c r="Z13" s="22">
        <f>Z11*Assumptions!$H$77/12</f>
        <v/>
      </c>
      <c r="AA13" s="22">
        <f>AA11*Assumptions!$H$77/12</f>
        <v/>
      </c>
      <c r="AB13" s="22">
        <f>AB11*Assumptions!$H$77/12</f>
        <v/>
      </c>
      <c r="AC13" s="22">
        <f>AC11*Assumptions!$H$77/12</f>
        <v/>
      </c>
      <c r="AD13" s="22">
        <f>AD11*Assumptions!$H$77/12</f>
        <v/>
      </c>
      <c r="AE13" s="22">
        <f>AE11*Assumptions!$H$77/12</f>
        <v/>
      </c>
      <c r="AF13" s="22">
        <f>AF11*Assumptions!$H$77/12</f>
        <v/>
      </c>
      <c r="AG13" s="22">
        <f>AG11*Assumptions!$H$77/12</f>
        <v/>
      </c>
      <c r="AH13" s="22">
        <f>AH11*Assumptions!$H$77/12</f>
        <v/>
      </c>
      <c r="AI13" s="22">
        <f>AI11*Assumptions!$H$77/12</f>
        <v/>
      </c>
      <c r="AJ13" s="22">
        <f>AJ11*Assumptions!$H$77/12</f>
        <v/>
      </c>
      <c r="AK13" s="22">
        <f>AK11*Assumptions!$H$77/12</f>
        <v/>
      </c>
      <c r="AL13" s="22">
        <f>AL11*Assumptions!$H$77/12</f>
        <v/>
      </c>
      <c r="AM13" s="22">
        <f>AM11*Assumptions!$H$77/12</f>
        <v/>
      </c>
      <c r="AN13" s="22">
        <f>AN11*Assumptions!$H$77/12</f>
        <v/>
      </c>
      <c r="AO13" s="22">
        <f>AO11*Assumptions!$H$77/12</f>
        <v/>
      </c>
      <c r="AP13" s="22">
        <f>AP11*Assumptions!$H$77/12</f>
        <v/>
      </c>
      <c r="AQ13" s="22">
        <f>AQ11*Assumptions!$H$77/12</f>
        <v/>
      </c>
      <c r="AR13" s="22">
        <f>AR11*Assumptions!$H$77/12</f>
        <v/>
      </c>
      <c r="AS13" s="22">
        <f>AS11*Assumptions!$H$77/12</f>
        <v/>
      </c>
      <c r="AT13" s="22">
        <f>AT11*Assumptions!$H$77/12</f>
        <v/>
      </c>
      <c r="AU13" s="22">
        <f>AU11*Assumptions!$H$77/12</f>
        <v/>
      </c>
      <c r="AV13" s="22">
        <f>AV11*Assumptions!$H$77/12</f>
        <v/>
      </c>
      <c r="AW13" s="22">
        <f>AW11*Assumptions!$H$77/12</f>
        <v/>
      </c>
      <c r="AX13" s="22">
        <f>AX11*Assumptions!$H$77/12</f>
        <v/>
      </c>
      <c r="AY13" s="22">
        <f>AY11*Assumptions!$H$77/12</f>
        <v/>
      </c>
      <c r="AZ13" s="22">
        <f>AZ11*Assumptions!$H$77/12</f>
        <v/>
      </c>
      <c r="BA13" s="22">
        <f>BA11*Assumptions!$H$77/12</f>
        <v/>
      </c>
      <c r="BB13" s="22">
        <f>BB11*Assumptions!$H$77/12</f>
        <v/>
      </c>
      <c r="BC13" s="22">
        <f>BC11*Assumptions!$H$77/12</f>
        <v/>
      </c>
      <c r="BD13" s="22">
        <f>BD11*Assumptions!$H$77/12</f>
        <v/>
      </c>
      <c r="BE13" s="22">
        <f>BE11*Assumptions!$H$77/12</f>
        <v/>
      </c>
      <c r="BF13" s="22">
        <f>BF11*Assumptions!$H$77/12</f>
        <v/>
      </c>
      <c r="BG13" s="22">
        <f>BG11*Assumptions!$H$77/12</f>
        <v/>
      </c>
      <c r="BH13" s="22">
        <f>BH11*Assumptions!$H$77/12</f>
        <v/>
      </c>
      <c r="BI13" s="22">
        <f>BI11*Assumptions!$H$77/12</f>
        <v/>
      </c>
      <c r="BJ13" s="22">
        <f>BJ11*Assumptions!$H$77/12</f>
        <v/>
      </c>
      <c r="BK13" s="22">
        <f>BK11*Assumptions!$H$77/12</f>
        <v/>
      </c>
      <c r="BL13" s="22">
        <f>BL11*Assumptions!$H$77/12</f>
        <v/>
      </c>
      <c r="BM13" s="22">
        <f>BM11*Assumptions!$H$77/12</f>
        <v/>
      </c>
      <c r="BN13" s="22">
        <f>BN11*Assumptions!$H$77/12</f>
        <v/>
      </c>
      <c r="BO13" s="22">
        <f>BO11*Assumptions!$H$77/12</f>
        <v/>
      </c>
      <c r="BP13" s="22">
        <f>BP11*Assumptions!$H$77/12</f>
        <v/>
      </c>
      <c r="BQ13" s="22">
        <f>BQ11*Assumptions!$H$77/12</f>
        <v/>
      </c>
      <c r="BR13" s="22">
        <f>BR11*Assumptions!$H$77/12</f>
        <v/>
      </c>
      <c r="BS13" s="22">
        <f>BS11*Assumptions!$H$77/12</f>
        <v/>
      </c>
      <c r="BT13" s="22">
        <f>BT11*Assumptions!$H$77/12</f>
        <v/>
      </c>
      <c r="BU13" s="22">
        <f>BU11*Assumptions!$H$77/12</f>
        <v/>
      </c>
      <c r="BV13" s="22">
        <f>BV11*Assumptions!$H$77/12</f>
        <v/>
      </c>
      <c r="BW13" s="22">
        <f>BW11*Assumptions!$H$77/12</f>
        <v/>
      </c>
      <c r="BX13" s="22">
        <f>BX11*Assumptions!$H$77/12</f>
        <v/>
      </c>
      <c r="BY13" s="22">
        <f>BY11*Assumptions!$H$77/12</f>
        <v/>
      </c>
      <c r="BZ13" s="22">
        <f>BZ11*Assumptions!$H$77/12</f>
        <v/>
      </c>
      <c r="CA13" s="22">
        <f>CA11*Assumptions!$H$77/12</f>
        <v/>
      </c>
      <c r="CB13" s="22">
        <f>CB11*Assumptions!$H$77/12</f>
        <v/>
      </c>
      <c r="CC13" s="22">
        <f>CC11*Assumptions!$H$77/12</f>
        <v/>
      </c>
      <c r="CD13" s="22">
        <f>CD11*Assumptions!$H$77/12</f>
        <v/>
      </c>
      <c r="CE13" s="22">
        <f>CE11*Assumptions!$H$77/12</f>
        <v/>
      </c>
      <c r="CF13" s="22">
        <f>CF11*Assumptions!$H$77/12</f>
        <v/>
      </c>
      <c r="CG13" s="22">
        <f>CG11*Assumptions!$H$77/12</f>
        <v/>
      </c>
      <c r="CH13" s="22">
        <f>CH11*Assumptions!$H$77/12</f>
        <v/>
      </c>
      <c r="CI13" s="22">
        <f>CI11*Assumptions!$H$77/12</f>
        <v/>
      </c>
      <c r="CJ13" s="22">
        <f>CJ11*Assumptions!$H$77/12</f>
        <v/>
      </c>
      <c r="CK13" s="22">
        <f>CK11*Assumptions!$H$77/12</f>
        <v/>
      </c>
      <c r="CL13" s="22">
        <f>CL11*Assumptions!$H$77/12</f>
        <v/>
      </c>
      <c r="CM13" s="22">
        <f>CM11*Assumptions!$H$77/12</f>
        <v/>
      </c>
      <c r="CN13" s="22">
        <f>CN11*Assumptions!$H$77/12</f>
        <v/>
      </c>
      <c r="CO13" s="22">
        <f>CO11*Assumptions!$H$77/12</f>
        <v/>
      </c>
      <c r="CP13" s="22">
        <f>CP11*Assumptions!$H$77/12</f>
        <v/>
      </c>
      <c r="CQ13" s="22">
        <f>CQ11*Assumptions!$H$77/12</f>
        <v/>
      </c>
      <c r="CR13" s="22">
        <f>CR11*Assumptions!$H$77/12</f>
        <v/>
      </c>
      <c r="CS13" s="22">
        <f>CS11*Assumptions!$H$77/12</f>
        <v/>
      </c>
      <c r="CT13" s="22">
        <f>CT11*Assumptions!$H$77/12</f>
        <v/>
      </c>
      <c r="CU13" s="22">
        <f>CU11*Assumptions!$H$77/12</f>
        <v/>
      </c>
      <c r="CV13" s="22">
        <f>CV11*Assumptions!$H$77/12</f>
        <v/>
      </c>
      <c r="CW13" s="22">
        <f>CW11*Assumptions!$H$77/12</f>
        <v/>
      </c>
      <c r="CX13" s="22">
        <f>CX11*Assumptions!$H$77/12</f>
        <v/>
      </c>
      <c r="CY13" s="22">
        <f>CY11*Assumptions!$H$77/12</f>
        <v/>
      </c>
      <c r="CZ13" s="22">
        <f>CZ11*Assumptions!$H$77/12</f>
        <v/>
      </c>
      <c r="DA13" s="22">
        <f>DA11*Assumptions!$H$77/12</f>
        <v/>
      </c>
      <c r="DB13" s="22">
        <f>DB11*Assumptions!$H$77/12</f>
        <v/>
      </c>
      <c r="DC13" s="22">
        <f>DC11*Assumptions!$H$77/12</f>
        <v/>
      </c>
      <c r="DD13" s="22">
        <f>DD11*Assumptions!$H$77/12</f>
        <v/>
      </c>
      <c r="DE13" s="22">
        <f>DE11*Assumptions!$H$77/12</f>
        <v/>
      </c>
      <c r="DF13" s="22">
        <f>DF11*Assumptions!$H$77/12</f>
        <v/>
      </c>
      <c r="DG13" s="22">
        <f>DG11*Assumptions!$H$77/12</f>
        <v/>
      </c>
      <c r="DH13" s="22">
        <f>DH11*Assumptions!$H$77/12</f>
        <v/>
      </c>
      <c r="DI13" s="22">
        <f>DI11*Assumptions!$H$77/12</f>
        <v/>
      </c>
      <c r="DJ13" s="22">
        <f>DJ11*Assumptions!$H$77/12</f>
        <v/>
      </c>
      <c r="DK13" s="22">
        <f>DK11*Assumptions!$H$77/12</f>
        <v/>
      </c>
      <c r="DL13" s="22">
        <f>DL11*Assumptions!$H$77/12</f>
        <v/>
      </c>
      <c r="DM13" s="22">
        <f>DM11*Assumptions!$H$77/12</f>
        <v/>
      </c>
      <c r="DN13" s="22">
        <f>DN11*Assumptions!$H$77/12</f>
        <v/>
      </c>
      <c r="DO13" s="22">
        <f>DO11*Assumptions!$H$77/12</f>
        <v/>
      </c>
      <c r="DP13" s="22">
        <f>DP11*Assumptions!$H$77/12</f>
        <v/>
      </c>
      <c r="DQ13" s="22">
        <f>DQ11*Assumptions!$H$77/12</f>
        <v/>
      </c>
      <c r="DR13" s="22">
        <f>DR11*Assumptions!$H$77/12</f>
        <v/>
      </c>
      <c r="DS13" s="22">
        <f>DS11*Assumptions!$H$77/12</f>
        <v/>
      </c>
    </row>
    <row r="14">
      <c r="A14" s="2" t="inlineStr">
        <is>
          <t>GT_BIRTHS</t>
        </is>
      </c>
      <c r="B14" s="6" t="inlineStr">
        <is>
          <t>Young born</t>
        </is>
      </c>
      <c r="C14" s="2" t="inlineStr">
        <is>
          <t>head</t>
        </is>
      </c>
      <c r="D14" s="22">
        <f>0</f>
        <v/>
      </c>
      <c r="E14" s="22">
        <f>0</f>
        <v/>
      </c>
      <c r="F14" s="22">
        <f>0</f>
        <v/>
      </c>
      <c r="G14" s="22">
        <f>0</f>
        <v/>
      </c>
      <c r="H14" s="22">
        <f>0</f>
        <v/>
      </c>
      <c r="I14" s="22">
        <f>0</f>
        <v/>
      </c>
      <c r="J14" s="22">
        <f>D18*Assumptions!$H$61/12*Assumptions!$H$65</f>
        <v/>
      </c>
      <c r="K14" s="22">
        <f>E18*Assumptions!$H$61/12*Assumptions!$H$65</f>
        <v/>
      </c>
      <c r="L14" s="22">
        <f>F18*Assumptions!$H$61/12*Assumptions!$H$65</f>
        <v/>
      </c>
      <c r="M14" s="22">
        <f>G18*Assumptions!$H$61/12*Assumptions!$H$65</f>
        <v/>
      </c>
      <c r="N14" s="22">
        <f>H18*Assumptions!$H$61/12*Assumptions!$H$65</f>
        <v/>
      </c>
      <c r="O14" s="22">
        <f>I18*Assumptions!$H$61/12*Assumptions!$H$65</f>
        <v/>
      </c>
      <c r="P14" s="22">
        <f>J18*Assumptions!$H$61/12*Assumptions!$H$65</f>
        <v/>
      </c>
      <c r="Q14" s="22">
        <f>K18*Assumptions!$H$61/12*Assumptions!$H$65</f>
        <v/>
      </c>
      <c r="R14" s="22">
        <f>L18*Assumptions!$H$61/12*Assumptions!$H$65</f>
        <v/>
      </c>
      <c r="S14" s="22">
        <f>M18*Assumptions!$H$61/12*Assumptions!$H$65</f>
        <v/>
      </c>
      <c r="T14" s="22">
        <f>N18*Assumptions!$H$61/12*Assumptions!$H$65</f>
        <v/>
      </c>
      <c r="U14" s="22">
        <f>O18*Assumptions!$H$61/12*Assumptions!$H$65</f>
        <v/>
      </c>
      <c r="V14" s="22">
        <f>P18*Assumptions!$H$61/12*Assumptions!$H$65</f>
        <v/>
      </c>
      <c r="W14" s="22">
        <f>Q18*Assumptions!$H$61/12*Assumptions!$H$65</f>
        <v/>
      </c>
      <c r="X14" s="22">
        <f>R18*Assumptions!$H$61/12*Assumptions!$H$65</f>
        <v/>
      </c>
      <c r="Y14" s="22">
        <f>S18*Assumptions!$H$61/12*Assumptions!$H$65</f>
        <v/>
      </c>
      <c r="Z14" s="22">
        <f>T18*Assumptions!$H$61/12*Assumptions!$H$65</f>
        <v/>
      </c>
      <c r="AA14" s="22">
        <f>U18*Assumptions!$H$61/12*Assumptions!$H$65</f>
        <v/>
      </c>
      <c r="AB14" s="22">
        <f>V18*Assumptions!$H$61/12*Assumptions!$H$65</f>
        <v/>
      </c>
      <c r="AC14" s="22">
        <f>W18*Assumptions!$H$61/12*Assumptions!$H$65</f>
        <v/>
      </c>
      <c r="AD14" s="22">
        <f>X18*Assumptions!$H$61/12*Assumptions!$H$65</f>
        <v/>
      </c>
      <c r="AE14" s="22">
        <f>Y18*Assumptions!$H$61/12*Assumptions!$H$65</f>
        <v/>
      </c>
      <c r="AF14" s="22">
        <f>Z18*Assumptions!$H$61/12*Assumptions!$H$65</f>
        <v/>
      </c>
      <c r="AG14" s="22">
        <f>AA18*Assumptions!$H$61/12*Assumptions!$H$65</f>
        <v/>
      </c>
      <c r="AH14" s="22">
        <f>AB18*Assumptions!$H$61/12*Assumptions!$H$65</f>
        <v/>
      </c>
      <c r="AI14" s="22">
        <f>AC18*Assumptions!$H$61/12*Assumptions!$H$65</f>
        <v/>
      </c>
      <c r="AJ14" s="22">
        <f>AD18*Assumptions!$H$61/12*Assumptions!$H$65</f>
        <v/>
      </c>
      <c r="AK14" s="22">
        <f>AE18*Assumptions!$H$61/12*Assumptions!$H$65</f>
        <v/>
      </c>
      <c r="AL14" s="22">
        <f>AF18*Assumptions!$H$61/12*Assumptions!$H$65</f>
        <v/>
      </c>
      <c r="AM14" s="22">
        <f>AG18*Assumptions!$H$61/12*Assumptions!$H$65</f>
        <v/>
      </c>
      <c r="AN14" s="22">
        <f>AH18*Assumptions!$H$61/12*Assumptions!$H$65</f>
        <v/>
      </c>
      <c r="AO14" s="22">
        <f>AI18*Assumptions!$H$61/12*Assumptions!$H$65</f>
        <v/>
      </c>
      <c r="AP14" s="22">
        <f>AJ18*Assumptions!$H$61/12*Assumptions!$H$65</f>
        <v/>
      </c>
      <c r="AQ14" s="22">
        <f>AK18*Assumptions!$H$61/12*Assumptions!$H$65</f>
        <v/>
      </c>
      <c r="AR14" s="22">
        <f>AL18*Assumptions!$H$61/12*Assumptions!$H$65</f>
        <v/>
      </c>
      <c r="AS14" s="22">
        <f>AM18*Assumptions!$H$61/12*Assumptions!$H$65</f>
        <v/>
      </c>
      <c r="AT14" s="22">
        <f>AN18*Assumptions!$H$61/12*Assumptions!$H$65</f>
        <v/>
      </c>
      <c r="AU14" s="22">
        <f>AO18*Assumptions!$H$61/12*Assumptions!$H$65</f>
        <v/>
      </c>
      <c r="AV14" s="22">
        <f>AP18*Assumptions!$H$61/12*Assumptions!$H$65</f>
        <v/>
      </c>
      <c r="AW14" s="22">
        <f>AQ18*Assumptions!$H$61/12*Assumptions!$H$65</f>
        <v/>
      </c>
      <c r="AX14" s="22">
        <f>AR18*Assumptions!$H$61/12*Assumptions!$H$65</f>
        <v/>
      </c>
      <c r="AY14" s="22">
        <f>AS18*Assumptions!$H$61/12*Assumptions!$H$65</f>
        <v/>
      </c>
      <c r="AZ14" s="22">
        <f>AT18*Assumptions!$H$61/12*Assumptions!$H$65</f>
        <v/>
      </c>
      <c r="BA14" s="22">
        <f>AU18*Assumptions!$H$61/12*Assumptions!$H$65</f>
        <v/>
      </c>
      <c r="BB14" s="22">
        <f>AV18*Assumptions!$H$61/12*Assumptions!$H$65</f>
        <v/>
      </c>
      <c r="BC14" s="22">
        <f>AW18*Assumptions!$H$61/12*Assumptions!$H$65</f>
        <v/>
      </c>
      <c r="BD14" s="22">
        <f>AX18*Assumptions!$H$61/12*Assumptions!$H$65</f>
        <v/>
      </c>
      <c r="BE14" s="22">
        <f>AY18*Assumptions!$H$61/12*Assumptions!$H$65</f>
        <v/>
      </c>
      <c r="BF14" s="22">
        <f>AZ18*Assumptions!$H$61/12*Assumptions!$H$65</f>
        <v/>
      </c>
      <c r="BG14" s="22">
        <f>BA18*Assumptions!$H$61/12*Assumptions!$H$65</f>
        <v/>
      </c>
      <c r="BH14" s="22">
        <f>BB18*Assumptions!$H$61/12*Assumptions!$H$65</f>
        <v/>
      </c>
      <c r="BI14" s="22">
        <f>BC18*Assumptions!$H$61/12*Assumptions!$H$65</f>
        <v/>
      </c>
      <c r="BJ14" s="22">
        <f>BD18*Assumptions!$H$61/12*Assumptions!$H$65</f>
        <v/>
      </c>
      <c r="BK14" s="22">
        <f>BE18*Assumptions!$H$61/12*Assumptions!$H$65</f>
        <v/>
      </c>
      <c r="BL14" s="22">
        <f>BF18*Assumptions!$H$61/12*Assumptions!$H$65</f>
        <v/>
      </c>
      <c r="BM14" s="22">
        <f>BG18*Assumptions!$H$61/12*Assumptions!$H$65</f>
        <v/>
      </c>
      <c r="BN14" s="22">
        <f>BH18*Assumptions!$H$61/12*Assumptions!$H$65</f>
        <v/>
      </c>
      <c r="BO14" s="22">
        <f>BI18*Assumptions!$H$61/12*Assumptions!$H$65</f>
        <v/>
      </c>
      <c r="BP14" s="22">
        <f>BJ18*Assumptions!$H$61/12*Assumptions!$H$65</f>
        <v/>
      </c>
      <c r="BQ14" s="22">
        <f>BK18*Assumptions!$H$61/12*Assumptions!$H$65</f>
        <v/>
      </c>
      <c r="BR14" s="22">
        <f>BL18*Assumptions!$H$61/12*Assumptions!$H$65</f>
        <v/>
      </c>
      <c r="BS14" s="22">
        <f>BM18*Assumptions!$H$61/12*Assumptions!$H$65</f>
        <v/>
      </c>
      <c r="BT14" s="22">
        <f>BN18*Assumptions!$H$61/12*Assumptions!$H$65</f>
        <v/>
      </c>
      <c r="BU14" s="22">
        <f>BO18*Assumptions!$H$61/12*Assumptions!$H$65</f>
        <v/>
      </c>
      <c r="BV14" s="22">
        <f>BP18*Assumptions!$H$61/12*Assumptions!$H$65</f>
        <v/>
      </c>
      <c r="BW14" s="22">
        <f>BQ18*Assumptions!$H$61/12*Assumptions!$H$65</f>
        <v/>
      </c>
      <c r="BX14" s="22">
        <f>BR18*Assumptions!$H$61/12*Assumptions!$H$65</f>
        <v/>
      </c>
      <c r="BY14" s="22">
        <f>BS18*Assumptions!$H$61/12*Assumptions!$H$65</f>
        <v/>
      </c>
      <c r="BZ14" s="22">
        <f>BT18*Assumptions!$H$61/12*Assumptions!$H$65</f>
        <v/>
      </c>
      <c r="CA14" s="22">
        <f>BU18*Assumptions!$H$61/12*Assumptions!$H$65</f>
        <v/>
      </c>
      <c r="CB14" s="22">
        <f>BV18*Assumptions!$H$61/12*Assumptions!$H$65</f>
        <v/>
      </c>
      <c r="CC14" s="22">
        <f>BW18*Assumptions!$H$61/12*Assumptions!$H$65</f>
        <v/>
      </c>
      <c r="CD14" s="22">
        <f>BX18*Assumptions!$H$61/12*Assumptions!$H$65</f>
        <v/>
      </c>
      <c r="CE14" s="22">
        <f>BY18*Assumptions!$H$61/12*Assumptions!$H$65</f>
        <v/>
      </c>
      <c r="CF14" s="22">
        <f>BZ18*Assumptions!$H$61/12*Assumptions!$H$65</f>
        <v/>
      </c>
      <c r="CG14" s="22">
        <f>CA18*Assumptions!$H$61/12*Assumptions!$H$65</f>
        <v/>
      </c>
      <c r="CH14" s="22">
        <f>CB18*Assumptions!$H$61/12*Assumptions!$H$65</f>
        <v/>
      </c>
      <c r="CI14" s="22">
        <f>CC18*Assumptions!$H$61/12*Assumptions!$H$65</f>
        <v/>
      </c>
      <c r="CJ14" s="22">
        <f>CD18*Assumptions!$H$61/12*Assumptions!$H$65</f>
        <v/>
      </c>
      <c r="CK14" s="22">
        <f>CE18*Assumptions!$H$61/12*Assumptions!$H$65</f>
        <v/>
      </c>
      <c r="CL14" s="22">
        <f>CF18*Assumptions!$H$61/12*Assumptions!$H$65</f>
        <v/>
      </c>
      <c r="CM14" s="22">
        <f>CG18*Assumptions!$H$61/12*Assumptions!$H$65</f>
        <v/>
      </c>
      <c r="CN14" s="22">
        <f>CH18*Assumptions!$H$61/12*Assumptions!$H$65</f>
        <v/>
      </c>
      <c r="CO14" s="22">
        <f>CI18*Assumptions!$H$61/12*Assumptions!$H$65</f>
        <v/>
      </c>
      <c r="CP14" s="22">
        <f>CJ18*Assumptions!$H$61/12*Assumptions!$H$65</f>
        <v/>
      </c>
      <c r="CQ14" s="22">
        <f>CK18*Assumptions!$H$61/12*Assumptions!$H$65</f>
        <v/>
      </c>
      <c r="CR14" s="22">
        <f>CL18*Assumptions!$H$61/12*Assumptions!$H$65</f>
        <v/>
      </c>
      <c r="CS14" s="22">
        <f>CM18*Assumptions!$H$61/12*Assumptions!$H$65</f>
        <v/>
      </c>
      <c r="CT14" s="22">
        <f>CN18*Assumptions!$H$61/12*Assumptions!$H$65</f>
        <v/>
      </c>
      <c r="CU14" s="22">
        <f>CO18*Assumptions!$H$61/12*Assumptions!$H$65</f>
        <v/>
      </c>
      <c r="CV14" s="22">
        <f>CP18*Assumptions!$H$61/12*Assumptions!$H$65</f>
        <v/>
      </c>
      <c r="CW14" s="22">
        <f>CQ18*Assumptions!$H$61/12*Assumptions!$H$65</f>
        <v/>
      </c>
      <c r="CX14" s="22">
        <f>CR18*Assumptions!$H$61/12*Assumptions!$H$65</f>
        <v/>
      </c>
      <c r="CY14" s="22">
        <f>CS18*Assumptions!$H$61/12*Assumptions!$H$65</f>
        <v/>
      </c>
      <c r="CZ14" s="22">
        <f>CT18*Assumptions!$H$61/12*Assumptions!$H$65</f>
        <v/>
      </c>
      <c r="DA14" s="22">
        <f>CU18*Assumptions!$H$61/12*Assumptions!$H$65</f>
        <v/>
      </c>
      <c r="DB14" s="22">
        <f>CV18*Assumptions!$H$61/12*Assumptions!$H$65</f>
        <v/>
      </c>
      <c r="DC14" s="22">
        <f>CW18*Assumptions!$H$61/12*Assumptions!$H$65</f>
        <v/>
      </c>
      <c r="DD14" s="22">
        <f>CX18*Assumptions!$H$61/12*Assumptions!$H$65</f>
        <v/>
      </c>
      <c r="DE14" s="22">
        <f>CY18*Assumptions!$H$61/12*Assumptions!$H$65</f>
        <v/>
      </c>
      <c r="DF14" s="22">
        <f>CZ18*Assumptions!$H$61/12*Assumptions!$H$65</f>
        <v/>
      </c>
      <c r="DG14" s="22">
        <f>DA18*Assumptions!$H$61/12*Assumptions!$H$65</f>
        <v/>
      </c>
      <c r="DH14" s="22">
        <f>DB18*Assumptions!$H$61/12*Assumptions!$H$65</f>
        <v/>
      </c>
      <c r="DI14" s="22">
        <f>DC18*Assumptions!$H$61/12*Assumptions!$H$65</f>
        <v/>
      </c>
      <c r="DJ14" s="22">
        <f>DD18*Assumptions!$H$61/12*Assumptions!$H$65</f>
        <v/>
      </c>
      <c r="DK14" s="22">
        <f>DE18*Assumptions!$H$61/12*Assumptions!$H$65</f>
        <v/>
      </c>
      <c r="DL14" s="22">
        <f>DF18*Assumptions!$H$61/12*Assumptions!$H$65</f>
        <v/>
      </c>
      <c r="DM14" s="22">
        <f>DG18*Assumptions!$H$61/12*Assumptions!$H$65</f>
        <v/>
      </c>
      <c r="DN14" s="22">
        <f>DH18*Assumptions!$H$61/12*Assumptions!$H$65</f>
        <v/>
      </c>
      <c r="DO14" s="22">
        <f>DI18*Assumptions!$H$61/12*Assumptions!$H$65</f>
        <v/>
      </c>
      <c r="DP14" s="22">
        <f>DJ18*Assumptions!$H$61/12*Assumptions!$H$65</f>
        <v/>
      </c>
      <c r="DQ14" s="22">
        <f>DK18*Assumptions!$H$61/12*Assumptions!$H$65</f>
        <v/>
      </c>
      <c r="DR14" s="22">
        <f>DL18*Assumptions!$H$61/12*Assumptions!$H$65</f>
        <v/>
      </c>
      <c r="DS14" s="22">
        <f>DM18*Assumptions!$H$61/12*Assumptions!$H$65</f>
        <v/>
      </c>
    </row>
    <row r="15">
      <c r="A15" s="2" t="inlineStr">
        <is>
          <t>GT_YSURV</t>
        </is>
      </c>
      <c r="B15" s="6" t="inlineStr">
        <is>
          <t>Young surviving to weaning</t>
        </is>
      </c>
      <c r="C15" s="2" t="inlineStr">
        <is>
          <t>head</t>
        </is>
      </c>
      <c r="D15" s="22">
        <f>D14*(1-MIN(1,Assumptions!$H$69*Sensitivity!$C$8))</f>
        <v/>
      </c>
      <c r="E15" s="22">
        <f>E14*(1-MIN(1,Assumptions!$H$69*Sensitivity!$C$8))</f>
        <v/>
      </c>
      <c r="F15" s="22">
        <f>F14*(1-MIN(1,Assumptions!$H$69*Sensitivity!$C$8))</f>
        <v/>
      </c>
      <c r="G15" s="22">
        <f>G14*(1-MIN(1,Assumptions!$H$69*Sensitivity!$C$8))</f>
        <v/>
      </c>
      <c r="H15" s="22">
        <f>H14*(1-MIN(1,Assumptions!$H$69*Sensitivity!$C$8))</f>
        <v/>
      </c>
      <c r="I15" s="22">
        <f>I14*(1-MIN(1,Assumptions!$H$69*Sensitivity!$C$8))</f>
        <v/>
      </c>
      <c r="J15" s="22">
        <f>J14*(1-MIN(1,Assumptions!$H$69*Sensitivity!$C$8))</f>
        <v/>
      </c>
      <c r="K15" s="22">
        <f>K14*(1-MIN(1,Assumptions!$H$69*Sensitivity!$C$8))</f>
        <v/>
      </c>
      <c r="L15" s="22">
        <f>L14*(1-MIN(1,Assumptions!$H$69*Sensitivity!$C$8))</f>
        <v/>
      </c>
      <c r="M15" s="22">
        <f>M14*(1-MIN(1,Assumptions!$H$69*Sensitivity!$C$8))</f>
        <v/>
      </c>
      <c r="N15" s="22">
        <f>N14*(1-MIN(1,Assumptions!$H$69*Sensitivity!$C$8))</f>
        <v/>
      </c>
      <c r="O15" s="22">
        <f>O14*(1-MIN(1,Assumptions!$H$69*Sensitivity!$C$8))</f>
        <v/>
      </c>
      <c r="P15" s="22">
        <f>P14*(1-MIN(1,Assumptions!$H$69*Sensitivity!$C$8))</f>
        <v/>
      </c>
      <c r="Q15" s="22">
        <f>Q14*(1-MIN(1,Assumptions!$H$69*Sensitivity!$C$8))</f>
        <v/>
      </c>
      <c r="R15" s="22">
        <f>R14*(1-MIN(1,Assumptions!$H$69*Sensitivity!$C$8))</f>
        <v/>
      </c>
      <c r="S15" s="22">
        <f>S14*(1-MIN(1,Assumptions!$H$69*Sensitivity!$C$8))</f>
        <v/>
      </c>
      <c r="T15" s="22">
        <f>T14*(1-MIN(1,Assumptions!$H$69*Sensitivity!$C$8))</f>
        <v/>
      </c>
      <c r="U15" s="22">
        <f>U14*(1-MIN(1,Assumptions!$H$69*Sensitivity!$C$8))</f>
        <v/>
      </c>
      <c r="V15" s="22">
        <f>V14*(1-MIN(1,Assumptions!$H$69*Sensitivity!$C$8))</f>
        <v/>
      </c>
      <c r="W15" s="22">
        <f>W14*(1-MIN(1,Assumptions!$H$69*Sensitivity!$C$8))</f>
        <v/>
      </c>
      <c r="X15" s="22">
        <f>X14*(1-MIN(1,Assumptions!$H$69*Sensitivity!$C$8))</f>
        <v/>
      </c>
      <c r="Y15" s="22">
        <f>Y14*(1-MIN(1,Assumptions!$H$69*Sensitivity!$C$8))</f>
        <v/>
      </c>
      <c r="Z15" s="22">
        <f>Z14*(1-MIN(1,Assumptions!$H$69*Sensitivity!$C$8))</f>
        <v/>
      </c>
      <c r="AA15" s="22">
        <f>AA14*(1-MIN(1,Assumptions!$H$69*Sensitivity!$C$8))</f>
        <v/>
      </c>
      <c r="AB15" s="22">
        <f>AB14*(1-MIN(1,Assumptions!$H$69*Sensitivity!$C$8))</f>
        <v/>
      </c>
      <c r="AC15" s="22">
        <f>AC14*(1-MIN(1,Assumptions!$H$69*Sensitivity!$C$8))</f>
        <v/>
      </c>
      <c r="AD15" s="22">
        <f>AD14*(1-MIN(1,Assumptions!$H$69*Sensitivity!$C$8))</f>
        <v/>
      </c>
      <c r="AE15" s="22">
        <f>AE14*(1-MIN(1,Assumptions!$H$69*Sensitivity!$C$8))</f>
        <v/>
      </c>
      <c r="AF15" s="22">
        <f>AF14*(1-MIN(1,Assumptions!$H$69*Sensitivity!$C$8))</f>
        <v/>
      </c>
      <c r="AG15" s="22">
        <f>AG14*(1-MIN(1,Assumptions!$H$69*Sensitivity!$C$8))</f>
        <v/>
      </c>
      <c r="AH15" s="22">
        <f>AH14*(1-MIN(1,Assumptions!$H$69*Sensitivity!$C$8))</f>
        <v/>
      </c>
      <c r="AI15" s="22">
        <f>AI14*(1-MIN(1,Assumptions!$H$69*Sensitivity!$C$8))</f>
        <v/>
      </c>
      <c r="AJ15" s="22">
        <f>AJ14*(1-MIN(1,Assumptions!$H$69*Sensitivity!$C$8))</f>
        <v/>
      </c>
      <c r="AK15" s="22">
        <f>AK14*(1-MIN(1,Assumptions!$H$69*Sensitivity!$C$8))</f>
        <v/>
      </c>
      <c r="AL15" s="22">
        <f>AL14*(1-MIN(1,Assumptions!$H$69*Sensitivity!$C$8))</f>
        <v/>
      </c>
      <c r="AM15" s="22">
        <f>AM14*(1-MIN(1,Assumptions!$H$69*Sensitivity!$C$8))</f>
        <v/>
      </c>
      <c r="AN15" s="22">
        <f>AN14*(1-MIN(1,Assumptions!$H$69*Sensitivity!$C$8))</f>
        <v/>
      </c>
      <c r="AO15" s="22">
        <f>AO14*(1-MIN(1,Assumptions!$H$69*Sensitivity!$C$8))</f>
        <v/>
      </c>
      <c r="AP15" s="22">
        <f>AP14*(1-MIN(1,Assumptions!$H$69*Sensitivity!$C$8))</f>
        <v/>
      </c>
      <c r="AQ15" s="22">
        <f>AQ14*(1-MIN(1,Assumptions!$H$69*Sensitivity!$C$8))</f>
        <v/>
      </c>
      <c r="AR15" s="22">
        <f>AR14*(1-MIN(1,Assumptions!$H$69*Sensitivity!$C$8))</f>
        <v/>
      </c>
      <c r="AS15" s="22">
        <f>AS14*(1-MIN(1,Assumptions!$H$69*Sensitivity!$C$8))</f>
        <v/>
      </c>
      <c r="AT15" s="22">
        <f>AT14*(1-MIN(1,Assumptions!$H$69*Sensitivity!$C$8))</f>
        <v/>
      </c>
      <c r="AU15" s="22">
        <f>AU14*(1-MIN(1,Assumptions!$H$69*Sensitivity!$C$8))</f>
        <v/>
      </c>
      <c r="AV15" s="22">
        <f>AV14*(1-MIN(1,Assumptions!$H$69*Sensitivity!$C$8))</f>
        <v/>
      </c>
      <c r="AW15" s="22">
        <f>AW14*(1-MIN(1,Assumptions!$H$69*Sensitivity!$C$8))</f>
        <v/>
      </c>
      <c r="AX15" s="22">
        <f>AX14*(1-MIN(1,Assumptions!$H$69*Sensitivity!$C$8))</f>
        <v/>
      </c>
      <c r="AY15" s="22">
        <f>AY14*(1-MIN(1,Assumptions!$H$69*Sensitivity!$C$8))</f>
        <v/>
      </c>
      <c r="AZ15" s="22">
        <f>AZ14*(1-MIN(1,Assumptions!$H$69*Sensitivity!$C$8))</f>
        <v/>
      </c>
      <c r="BA15" s="22">
        <f>BA14*(1-MIN(1,Assumptions!$H$69*Sensitivity!$C$8))</f>
        <v/>
      </c>
      <c r="BB15" s="22">
        <f>BB14*(1-MIN(1,Assumptions!$H$69*Sensitivity!$C$8))</f>
        <v/>
      </c>
      <c r="BC15" s="22">
        <f>BC14*(1-MIN(1,Assumptions!$H$69*Sensitivity!$C$8))</f>
        <v/>
      </c>
      <c r="BD15" s="22">
        <f>BD14*(1-MIN(1,Assumptions!$H$69*Sensitivity!$C$8))</f>
        <v/>
      </c>
      <c r="BE15" s="22">
        <f>BE14*(1-MIN(1,Assumptions!$H$69*Sensitivity!$C$8))</f>
        <v/>
      </c>
      <c r="BF15" s="22">
        <f>BF14*(1-MIN(1,Assumptions!$H$69*Sensitivity!$C$8))</f>
        <v/>
      </c>
      <c r="BG15" s="22">
        <f>BG14*(1-MIN(1,Assumptions!$H$69*Sensitivity!$C$8))</f>
        <v/>
      </c>
      <c r="BH15" s="22">
        <f>BH14*(1-MIN(1,Assumptions!$H$69*Sensitivity!$C$8))</f>
        <v/>
      </c>
      <c r="BI15" s="22">
        <f>BI14*(1-MIN(1,Assumptions!$H$69*Sensitivity!$C$8))</f>
        <v/>
      </c>
      <c r="BJ15" s="22">
        <f>BJ14*(1-MIN(1,Assumptions!$H$69*Sensitivity!$C$8))</f>
        <v/>
      </c>
      <c r="BK15" s="22">
        <f>BK14*(1-MIN(1,Assumptions!$H$69*Sensitivity!$C$8))</f>
        <v/>
      </c>
      <c r="BL15" s="22">
        <f>BL14*(1-MIN(1,Assumptions!$H$69*Sensitivity!$C$8))</f>
        <v/>
      </c>
      <c r="BM15" s="22">
        <f>BM14*(1-MIN(1,Assumptions!$H$69*Sensitivity!$C$8))</f>
        <v/>
      </c>
      <c r="BN15" s="22">
        <f>BN14*(1-MIN(1,Assumptions!$H$69*Sensitivity!$C$8))</f>
        <v/>
      </c>
      <c r="BO15" s="22">
        <f>BO14*(1-MIN(1,Assumptions!$H$69*Sensitivity!$C$8))</f>
        <v/>
      </c>
      <c r="BP15" s="22">
        <f>BP14*(1-MIN(1,Assumptions!$H$69*Sensitivity!$C$8))</f>
        <v/>
      </c>
      <c r="BQ15" s="22">
        <f>BQ14*(1-MIN(1,Assumptions!$H$69*Sensitivity!$C$8))</f>
        <v/>
      </c>
      <c r="BR15" s="22">
        <f>BR14*(1-MIN(1,Assumptions!$H$69*Sensitivity!$C$8))</f>
        <v/>
      </c>
      <c r="BS15" s="22">
        <f>BS14*(1-MIN(1,Assumptions!$H$69*Sensitivity!$C$8))</f>
        <v/>
      </c>
      <c r="BT15" s="22">
        <f>BT14*(1-MIN(1,Assumptions!$H$69*Sensitivity!$C$8))</f>
        <v/>
      </c>
      <c r="BU15" s="22">
        <f>BU14*(1-MIN(1,Assumptions!$H$69*Sensitivity!$C$8))</f>
        <v/>
      </c>
      <c r="BV15" s="22">
        <f>BV14*(1-MIN(1,Assumptions!$H$69*Sensitivity!$C$8))</f>
        <v/>
      </c>
      <c r="BW15" s="22">
        <f>BW14*(1-MIN(1,Assumptions!$H$69*Sensitivity!$C$8))</f>
        <v/>
      </c>
      <c r="BX15" s="22">
        <f>BX14*(1-MIN(1,Assumptions!$H$69*Sensitivity!$C$8))</f>
        <v/>
      </c>
      <c r="BY15" s="22">
        <f>BY14*(1-MIN(1,Assumptions!$H$69*Sensitivity!$C$8))</f>
        <v/>
      </c>
      <c r="BZ15" s="22">
        <f>BZ14*(1-MIN(1,Assumptions!$H$69*Sensitivity!$C$8))</f>
        <v/>
      </c>
      <c r="CA15" s="22">
        <f>CA14*(1-MIN(1,Assumptions!$H$69*Sensitivity!$C$8))</f>
        <v/>
      </c>
      <c r="CB15" s="22">
        <f>CB14*(1-MIN(1,Assumptions!$H$69*Sensitivity!$C$8))</f>
        <v/>
      </c>
      <c r="CC15" s="22">
        <f>CC14*(1-MIN(1,Assumptions!$H$69*Sensitivity!$C$8))</f>
        <v/>
      </c>
      <c r="CD15" s="22">
        <f>CD14*(1-MIN(1,Assumptions!$H$69*Sensitivity!$C$8))</f>
        <v/>
      </c>
      <c r="CE15" s="22">
        <f>CE14*(1-MIN(1,Assumptions!$H$69*Sensitivity!$C$8))</f>
        <v/>
      </c>
      <c r="CF15" s="22">
        <f>CF14*(1-MIN(1,Assumptions!$H$69*Sensitivity!$C$8))</f>
        <v/>
      </c>
      <c r="CG15" s="22">
        <f>CG14*(1-MIN(1,Assumptions!$H$69*Sensitivity!$C$8))</f>
        <v/>
      </c>
      <c r="CH15" s="22">
        <f>CH14*(1-MIN(1,Assumptions!$H$69*Sensitivity!$C$8))</f>
        <v/>
      </c>
      <c r="CI15" s="22">
        <f>CI14*(1-MIN(1,Assumptions!$H$69*Sensitivity!$C$8))</f>
        <v/>
      </c>
      <c r="CJ15" s="22">
        <f>CJ14*(1-MIN(1,Assumptions!$H$69*Sensitivity!$C$8))</f>
        <v/>
      </c>
      <c r="CK15" s="22">
        <f>CK14*(1-MIN(1,Assumptions!$H$69*Sensitivity!$C$8))</f>
        <v/>
      </c>
      <c r="CL15" s="22">
        <f>CL14*(1-MIN(1,Assumptions!$H$69*Sensitivity!$C$8))</f>
        <v/>
      </c>
      <c r="CM15" s="22">
        <f>CM14*(1-MIN(1,Assumptions!$H$69*Sensitivity!$C$8))</f>
        <v/>
      </c>
      <c r="CN15" s="22">
        <f>CN14*(1-MIN(1,Assumptions!$H$69*Sensitivity!$C$8))</f>
        <v/>
      </c>
      <c r="CO15" s="22">
        <f>CO14*(1-MIN(1,Assumptions!$H$69*Sensitivity!$C$8))</f>
        <v/>
      </c>
      <c r="CP15" s="22">
        <f>CP14*(1-MIN(1,Assumptions!$H$69*Sensitivity!$C$8))</f>
        <v/>
      </c>
      <c r="CQ15" s="22">
        <f>CQ14*(1-MIN(1,Assumptions!$H$69*Sensitivity!$C$8))</f>
        <v/>
      </c>
      <c r="CR15" s="22">
        <f>CR14*(1-MIN(1,Assumptions!$H$69*Sensitivity!$C$8))</f>
        <v/>
      </c>
      <c r="CS15" s="22">
        <f>CS14*(1-MIN(1,Assumptions!$H$69*Sensitivity!$C$8))</f>
        <v/>
      </c>
      <c r="CT15" s="22">
        <f>CT14*(1-MIN(1,Assumptions!$H$69*Sensitivity!$C$8))</f>
        <v/>
      </c>
      <c r="CU15" s="22">
        <f>CU14*(1-MIN(1,Assumptions!$H$69*Sensitivity!$C$8))</f>
        <v/>
      </c>
      <c r="CV15" s="22">
        <f>CV14*(1-MIN(1,Assumptions!$H$69*Sensitivity!$C$8))</f>
        <v/>
      </c>
      <c r="CW15" s="22">
        <f>CW14*(1-MIN(1,Assumptions!$H$69*Sensitivity!$C$8))</f>
        <v/>
      </c>
      <c r="CX15" s="22">
        <f>CX14*(1-MIN(1,Assumptions!$H$69*Sensitivity!$C$8))</f>
        <v/>
      </c>
      <c r="CY15" s="22">
        <f>CY14*(1-MIN(1,Assumptions!$H$69*Sensitivity!$C$8))</f>
        <v/>
      </c>
      <c r="CZ15" s="22">
        <f>CZ14*(1-MIN(1,Assumptions!$H$69*Sensitivity!$C$8))</f>
        <v/>
      </c>
      <c r="DA15" s="22">
        <f>DA14*(1-MIN(1,Assumptions!$H$69*Sensitivity!$C$8))</f>
        <v/>
      </c>
      <c r="DB15" s="22">
        <f>DB14*(1-MIN(1,Assumptions!$H$69*Sensitivity!$C$8))</f>
        <v/>
      </c>
      <c r="DC15" s="22">
        <f>DC14*(1-MIN(1,Assumptions!$H$69*Sensitivity!$C$8))</f>
        <v/>
      </c>
      <c r="DD15" s="22">
        <f>DD14*(1-MIN(1,Assumptions!$H$69*Sensitivity!$C$8))</f>
        <v/>
      </c>
      <c r="DE15" s="22">
        <f>DE14*(1-MIN(1,Assumptions!$H$69*Sensitivity!$C$8))</f>
        <v/>
      </c>
      <c r="DF15" s="22">
        <f>DF14*(1-MIN(1,Assumptions!$H$69*Sensitivity!$C$8))</f>
        <v/>
      </c>
      <c r="DG15" s="22">
        <f>DG14*(1-MIN(1,Assumptions!$H$69*Sensitivity!$C$8))</f>
        <v/>
      </c>
      <c r="DH15" s="22">
        <f>DH14*(1-MIN(1,Assumptions!$H$69*Sensitivity!$C$8))</f>
        <v/>
      </c>
      <c r="DI15" s="22">
        <f>DI14*(1-MIN(1,Assumptions!$H$69*Sensitivity!$C$8))</f>
        <v/>
      </c>
      <c r="DJ15" s="22">
        <f>DJ14*(1-MIN(1,Assumptions!$H$69*Sensitivity!$C$8))</f>
        <v/>
      </c>
      <c r="DK15" s="22">
        <f>DK14*(1-MIN(1,Assumptions!$H$69*Sensitivity!$C$8))</f>
        <v/>
      </c>
      <c r="DL15" s="22">
        <f>DL14*(1-MIN(1,Assumptions!$H$69*Sensitivity!$C$8))</f>
        <v/>
      </c>
      <c r="DM15" s="22">
        <f>DM14*(1-MIN(1,Assumptions!$H$69*Sensitivity!$C$8))</f>
        <v/>
      </c>
      <c r="DN15" s="22">
        <f>DN14*(1-MIN(1,Assumptions!$H$69*Sensitivity!$C$8))</f>
        <v/>
      </c>
      <c r="DO15" s="22">
        <f>DO14*(1-MIN(1,Assumptions!$H$69*Sensitivity!$C$8))</f>
        <v/>
      </c>
      <c r="DP15" s="22">
        <f>DP14*(1-MIN(1,Assumptions!$H$69*Sensitivity!$C$8))</f>
        <v/>
      </c>
      <c r="DQ15" s="22">
        <f>DQ14*(1-MIN(1,Assumptions!$H$69*Sensitivity!$C$8))</f>
        <v/>
      </c>
      <c r="DR15" s="22">
        <f>DR14*(1-MIN(1,Assumptions!$H$69*Sensitivity!$C$8))</f>
        <v/>
      </c>
      <c r="DS15" s="22">
        <f>DS14*(1-MIN(1,Assumptions!$H$69*Sensitivity!$C$8))</f>
        <v/>
      </c>
    </row>
    <row r="16">
      <c r="A16" s="2" t="inlineStr">
        <is>
          <t>GT_YREACH</t>
        </is>
      </c>
      <c r="B16" s="6" t="inlineStr">
        <is>
          <t>Young reaching sale age (9 months)</t>
        </is>
      </c>
      <c r="C16" s="2" t="inlineStr">
        <is>
          <t>head</t>
        </is>
      </c>
      <c r="D16" s="22">
        <f>0</f>
        <v/>
      </c>
      <c r="E16" s="22">
        <f>0</f>
        <v/>
      </c>
      <c r="F16" s="22">
        <f>0</f>
        <v/>
      </c>
      <c r="G16" s="22">
        <f>0</f>
        <v/>
      </c>
      <c r="H16" s="22">
        <f>0</f>
        <v/>
      </c>
      <c r="I16" s="22">
        <f>0</f>
        <v/>
      </c>
      <c r="J16" s="22">
        <f>0</f>
        <v/>
      </c>
      <c r="K16" s="22">
        <f>0</f>
        <v/>
      </c>
      <c r="L16" s="22">
        <f>0</f>
        <v/>
      </c>
      <c r="M16" s="22">
        <f>D15</f>
        <v/>
      </c>
      <c r="N16" s="22">
        <f>E15</f>
        <v/>
      </c>
      <c r="O16" s="22">
        <f>F15</f>
        <v/>
      </c>
      <c r="P16" s="22">
        <f>G15</f>
        <v/>
      </c>
      <c r="Q16" s="22">
        <f>H15</f>
        <v/>
      </c>
      <c r="R16" s="22">
        <f>I15</f>
        <v/>
      </c>
      <c r="S16" s="22">
        <f>J15</f>
        <v/>
      </c>
      <c r="T16" s="22">
        <f>K15</f>
        <v/>
      </c>
      <c r="U16" s="22">
        <f>L15</f>
        <v/>
      </c>
      <c r="V16" s="22">
        <f>M15</f>
        <v/>
      </c>
      <c r="W16" s="22">
        <f>N15</f>
        <v/>
      </c>
      <c r="X16" s="22">
        <f>O15</f>
        <v/>
      </c>
      <c r="Y16" s="22">
        <f>P15</f>
        <v/>
      </c>
      <c r="Z16" s="22">
        <f>Q15</f>
        <v/>
      </c>
      <c r="AA16" s="22">
        <f>R15</f>
        <v/>
      </c>
      <c r="AB16" s="22">
        <f>S15</f>
        <v/>
      </c>
      <c r="AC16" s="22">
        <f>T15</f>
        <v/>
      </c>
      <c r="AD16" s="22">
        <f>U15</f>
        <v/>
      </c>
      <c r="AE16" s="22">
        <f>V15</f>
        <v/>
      </c>
      <c r="AF16" s="22">
        <f>W15</f>
        <v/>
      </c>
      <c r="AG16" s="22">
        <f>X15</f>
        <v/>
      </c>
      <c r="AH16" s="22">
        <f>Y15</f>
        <v/>
      </c>
      <c r="AI16" s="22">
        <f>Z15</f>
        <v/>
      </c>
      <c r="AJ16" s="22">
        <f>AA15</f>
        <v/>
      </c>
      <c r="AK16" s="22">
        <f>AB15</f>
        <v/>
      </c>
      <c r="AL16" s="22">
        <f>AC15</f>
        <v/>
      </c>
      <c r="AM16" s="22">
        <f>AD15</f>
        <v/>
      </c>
      <c r="AN16" s="22">
        <f>AE15</f>
        <v/>
      </c>
      <c r="AO16" s="22">
        <f>AF15</f>
        <v/>
      </c>
      <c r="AP16" s="22">
        <f>AG15</f>
        <v/>
      </c>
      <c r="AQ16" s="22">
        <f>AH15</f>
        <v/>
      </c>
      <c r="AR16" s="22">
        <f>AI15</f>
        <v/>
      </c>
      <c r="AS16" s="22">
        <f>AJ15</f>
        <v/>
      </c>
      <c r="AT16" s="22">
        <f>AK15</f>
        <v/>
      </c>
      <c r="AU16" s="22">
        <f>AL15</f>
        <v/>
      </c>
      <c r="AV16" s="22">
        <f>AM15</f>
        <v/>
      </c>
      <c r="AW16" s="22">
        <f>AN15</f>
        <v/>
      </c>
      <c r="AX16" s="22">
        <f>AO15</f>
        <v/>
      </c>
      <c r="AY16" s="22">
        <f>AP15</f>
        <v/>
      </c>
      <c r="AZ16" s="22">
        <f>AQ15</f>
        <v/>
      </c>
      <c r="BA16" s="22">
        <f>AR15</f>
        <v/>
      </c>
      <c r="BB16" s="22">
        <f>AS15</f>
        <v/>
      </c>
      <c r="BC16" s="22">
        <f>AT15</f>
        <v/>
      </c>
      <c r="BD16" s="22">
        <f>AU15</f>
        <v/>
      </c>
      <c r="BE16" s="22">
        <f>AV15</f>
        <v/>
      </c>
      <c r="BF16" s="22">
        <f>AW15</f>
        <v/>
      </c>
      <c r="BG16" s="22">
        <f>AX15</f>
        <v/>
      </c>
      <c r="BH16" s="22">
        <f>AY15</f>
        <v/>
      </c>
      <c r="BI16" s="22">
        <f>AZ15</f>
        <v/>
      </c>
      <c r="BJ16" s="22">
        <f>BA15</f>
        <v/>
      </c>
      <c r="BK16" s="22">
        <f>BB15</f>
        <v/>
      </c>
      <c r="BL16" s="22">
        <f>BC15</f>
        <v/>
      </c>
      <c r="BM16" s="22">
        <f>BD15</f>
        <v/>
      </c>
      <c r="BN16" s="22">
        <f>BE15</f>
        <v/>
      </c>
      <c r="BO16" s="22">
        <f>BF15</f>
        <v/>
      </c>
      <c r="BP16" s="22">
        <f>BG15</f>
        <v/>
      </c>
      <c r="BQ16" s="22">
        <f>BH15</f>
        <v/>
      </c>
      <c r="BR16" s="22">
        <f>BI15</f>
        <v/>
      </c>
      <c r="BS16" s="22">
        <f>BJ15</f>
        <v/>
      </c>
      <c r="BT16" s="22">
        <f>BK15</f>
        <v/>
      </c>
      <c r="BU16" s="22">
        <f>BL15</f>
        <v/>
      </c>
      <c r="BV16" s="22">
        <f>BM15</f>
        <v/>
      </c>
      <c r="BW16" s="22">
        <f>BN15</f>
        <v/>
      </c>
      <c r="BX16" s="22">
        <f>BO15</f>
        <v/>
      </c>
      <c r="BY16" s="22">
        <f>BP15</f>
        <v/>
      </c>
      <c r="BZ16" s="22">
        <f>BQ15</f>
        <v/>
      </c>
      <c r="CA16" s="22">
        <f>BR15</f>
        <v/>
      </c>
      <c r="CB16" s="22">
        <f>BS15</f>
        <v/>
      </c>
      <c r="CC16" s="22">
        <f>BT15</f>
        <v/>
      </c>
      <c r="CD16" s="22">
        <f>BU15</f>
        <v/>
      </c>
      <c r="CE16" s="22">
        <f>BV15</f>
        <v/>
      </c>
      <c r="CF16" s="22">
        <f>BW15</f>
        <v/>
      </c>
      <c r="CG16" s="22">
        <f>BX15</f>
        <v/>
      </c>
      <c r="CH16" s="22">
        <f>BY15</f>
        <v/>
      </c>
      <c r="CI16" s="22">
        <f>BZ15</f>
        <v/>
      </c>
      <c r="CJ16" s="22">
        <f>CA15</f>
        <v/>
      </c>
      <c r="CK16" s="22">
        <f>CB15</f>
        <v/>
      </c>
      <c r="CL16" s="22">
        <f>CC15</f>
        <v/>
      </c>
      <c r="CM16" s="22">
        <f>CD15</f>
        <v/>
      </c>
      <c r="CN16" s="22">
        <f>CE15</f>
        <v/>
      </c>
      <c r="CO16" s="22">
        <f>CF15</f>
        <v/>
      </c>
      <c r="CP16" s="22">
        <f>CG15</f>
        <v/>
      </c>
      <c r="CQ16" s="22">
        <f>CH15</f>
        <v/>
      </c>
      <c r="CR16" s="22">
        <f>CI15</f>
        <v/>
      </c>
      <c r="CS16" s="22">
        <f>CJ15</f>
        <v/>
      </c>
      <c r="CT16" s="22">
        <f>CK15</f>
        <v/>
      </c>
      <c r="CU16" s="22">
        <f>CL15</f>
        <v/>
      </c>
      <c r="CV16" s="22">
        <f>CM15</f>
        <v/>
      </c>
      <c r="CW16" s="22">
        <f>CN15</f>
        <v/>
      </c>
      <c r="CX16" s="22">
        <f>CO15</f>
        <v/>
      </c>
      <c r="CY16" s="22">
        <f>CP15</f>
        <v/>
      </c>
      <c r="CZ16" s="22">
        <f>CQ15</f>
        <v/>
      </c>
      <c r="DA16" s="22">
        <f>CR15</f>
        <v/>
      </c>
      <c r="DB16" s="22">
        <f>CS15</f>
        <v/>
      </c>
      <c r="DC16" s="22">
        <f>CT15</f>
        <v/>
      </c>
      <c r="DD16" s="22">
        <f>CU15</f>
        <v/>
      </c>
      <c r="DE16" s="22">
        <f>CV15</f>
        <v/>
      </c>
      <c r="DF16" s="22">
        <f>CW15</f>
        <v/>
      </c>
      <c r="DG16" s="22">
        <f>CX15</f>
        <v/>
      </c>
      <c r="DH16" s="22">
        <f>CY15</f>
        <v/>
      </c>
      <c r="DI16" s="22">
        <f>CZ15</f>
        <v/>
      </c>
      <c r="DJ16" s="22">
        <f>DA15</f>
        <v/>
      </c>
      <c r="DK16" s="22">
        <f>DB15</f>
        <v/>
      </c>
      <c r="DL16" s="22">
        <f>DC15</f>
        <v/>
      </c>
      <c r="DM16" s="22">
        <f>DD15</f>
        <v/>
      </c>
      <c r="DN16" s="22">
        <f>DE15</f>
        <v/>
      </c>
      <c r="DO16" s="22">
        <f>DF15</f>
        <v/>
      </c>
      <c r="DP16" s="22">
        <f>DG15</f>
        <v/>
      </c>
      <c r="DQ16" s="22">
        <f>DH15</f>
        <v/>
      </c>
      <c r="DR16" s="22">
        <f>DI15</f>
        <v/>
      </c>
      <c r="DS16" s="22">
        <f>DJ15</f>
        <v/>
      </c>
    </row>
    <row r="17">
      <c r="A17" s="2" t="inlineStr">
        <is>
          <t>GT_RETAINED</t>
        </is>
      </c>
      <c r="B17" s="6" t="inlineStr">
        <is>
          <t>Female young kept as replacements</t>
        </is>
      </c>
      <c r="C17" s="2" t="inlineStr">
        <is>
          <t>head</t>
        </is>
      </c>
      <c r="D17" s="22">
        <f>MIN(D16*Assumptions!$H$117*Models!$H$36,MAX(0,Models!$H$27-(D11-D12-D13+D9)))</f>
        <v/>
      </c>
      <c r="E17" s="22">
        <f>MIN(E16*Assumptions!$H$117*Models!$H$36,MAX(0,Models!$H$27-(E11-E12-E13+E9)))</f>
        <v/>
      </c>
      <c r="F17" s="22">
        <f>MIN(F16*Assumptions!$H$117*Models!$H$36,MAX(0,Models!$H$27-(F11-F12-F13+F9)))</f>
        <v/>
      </c>
      <c r="G17" s="22">
        <f>MIN(G16*Assumptions!$H$117*Models!$H$36,MAX(0,Models!$H$27-(G11-G12-G13+G9)))</f>
        <v/>
      </c>
      <c r="H17" s="22">
        <f>MIN(H16*Assumptions!$H$117*Models!$H$36,MAX(0,Models!$H$27-(H11-H12-H13+H9)))</f>
        <v/>
      </c>
      <c r="I17" s="22">
        <f>MIN(I16*Assumptions!$H$117*Models!$H$36,MAX(0,Models!$H$27-(I11-I12-I13+I9)))</f>
        <v/>
      </c>
      <c r="J17" s="22">
        <f>MIN(J16*Assumptions!$H$117*Models!$H$36,MAX(0,Models!$H$27-(J11-J12-J13+J9)))</f>
        <v/>
      </c>
      <c r="K17" s="22">
        <f>MIN(K16*Assumptions!$H$117*Models!$H$36,MAX(0,Models!$H$27-(K11-K12-K13+K9)))</f>
        <v/>
      </c>
      <c r="L17" s="22">
        <f>MIN(L16*Assumptions!$H$117*Models!$H$36,MAX(0,Models!$H$27-(L11-L12-L13+L9)))</f>
        <v/>
      </c>
      <c r="M17" s="22">
        <f>MIN(M16*Assumptions!$H$117*Models!$H$36,MAX(0,Models!$H$27-(M11-M12-M13+M9)))</f>
        <v/>
      </c>
      <c r="N17" s="22">
        <f>MIN(N16*Assumptions!$H$117*Models!$H$36,MAX(0,Models!$H$27-(N11-N12-N13+N9)))</f>
        <v/>
      </c>
      <c r="O17" s="22">
        <f>MIN(O16*Assumptions!$H$117*Models!$H$36,MAX(0,Models!$H$27-(O11-O12-O13+O9)))</f>
        <v/>
      </c>
      <c r="P17" s="22">
        <f>MIN(P16*Assumptions!$H$117*Models!$H$36,MAX(0,Models!$H$27-(P11-P12-P13+P9)))</f>
        <v/>
      </c>
      <c r="Q17" s="22">
        <f>MIN(Q16*Assumptions!$H$117*Models!$H$36,MAX(0,Models!$H$27-(Q11-Q12-Q13+Q9)))</f>
        <v/>
      </c>
      <c r="R17" s="22">
        <f>MIN(R16*Assumptions!$H$117*Models!$H$36,MAX(0,Models!$H$27-(R11-R12-R13+R9)))</f>
        <v/>
      </c>
      <c r="S17" s="22">
        <f>MIN(S16*Assumptions!$H$117*Models!$H$36,MAX(0,Models!$H$27-(S11-S12-S13+S9)))</f>
        <v/>
      </c>
      <c r="T17" s="22">
        <f>MIN(T16*Assumptions!$H$117*Models!$H$36,MAX(0,Models!$H$27-(T11-T12-T13+T9)))</f>
        <v/>
      </c>
      <c r="U17" s="22">
        <f>MIN(U16*Assumptions!$H$117*Models!$H$36,MAX(0,Models!$H$27-(U11-U12-U13+U9)))</f>
        <v/>
      </c>
      <c r="V17" s="22">
        <f>MIN(V16*Assumptions!$H$117*Models!$H$36,MAX(0,Models!$H$27-(V11-V12-V13+V9)))</f>
        <v/>
      </c>
      <c r="W17" s="22">
        <f>MIN(W16*Assumptions!$H$117*Models!$H$36,MAX(0,Models!$H$27-(W11-W12-W13+W9)))</f>
        <v/>
      </c>
      <c r="X17" s="22">
        <f>MIN(X16*Assumptions!$H$117*Models!$H$36,MAX(0,Models!$H$27-(X11-X12-X13+X9)))</f>
        <v/>
      </c>
      <c r="Y17" s="22">
        <f>MIN(Y16*Assumptions!$H$117*Models!$H$36,MAX(0,Models!$H$27-(Y11-Y12-Y13+Y9)))</f>
        <v/>
      </c>
      <c r="Z17" s="22">
        <f>MIN(Z16*Assumptions!$H$117*Models!$H$36,MAX(0,Models!$H$27-(Z11-Z12-Z13+Z9)))</f>
        <v/>
      </c>
      <c r="AA17" s="22">
        <f>MIN(AA16*Assumptions!$H$117*Models!$H$36,MAX(0,Models!$H$27-(AA11-AA12-AA13+AA9)))</f>
        <v/>
      </c>
      <c r="AB17" s="22">
        <f>MIN(AB16*Assumptions!$H$117*Models!$H$36,MAX(0,Models!$H$27-(AB11-AB12-AB13+AB9)))</f>
        <v/>
      </c>
      <c r="AC17" s="22">
        <f>MIN(AC16*Assumptions!$H$117*Models!$H$36,MAX(0,Models!$H$27-(AC11-AC12-AC13+AC9)))</f>
        <v/>
      </c>
      <c r="AD17" s="22">
        <f>MIN(AD16*Assumptions!$H$117*Models!$H$36,MAX(0,Models!$H$27-(AD11-AD12-AD13+AD9)))</f>
        <v/>
      </c>
      <c r="AE17" s="22">
        <f>MIN(AE16*Assumptions!$H$117*Models!$H$36,MAX(0,Models!$H$27-(AE11-AE12-AE13+AE9)))</f>
        <v/>
      </c>
      <c r="AF17" s="22">
        <f>MIN(AF16*Assumptions!$H$117*Models!$H$36,MAX(0,Models!$H$27-(AF11-AF12-AF13+AF9)))</f>
        <v/>
      </c>
      <c r="AG17" s="22">
        <f>MIN(AG16*Assumptions!$H$117*Models!$H$36,MAX(0,Models!$H$27-(AG11-AG12-AG13+AG9)))</f>
        <v/>
      </c>
      <c r="AH17" s="22">
        <f>MIN(AH16*Assumptions!$H$117*Models!$H$36,MAX(0,Models!$H$27-(AH11-AH12-AH13+AH9)))</f>
        <v/>
      </c>
      <c r="AI17" s="22">
        <f>MIN(AI16*Assumptions!$H$117*Models!$H$36,MAX(0,Models!$H$27-(AI11-AI12-AI13+AI9)))</f>
        <v/>
      </c>
      <c r="AJ17" s="22">
        <f>MIN(AJ16*Assumptions!$H$117*Models!$H$36,MAX(0,Models!$H$27-(AJ11-AJ12-AJ13+AJ9)))</f>
        <v/>
      </c>
      <c r="AK17" s="22">
        <f>MIN(AK16*Assumptions!$H$117*Models!$H$36,MAX(0,Models!$H$27-(AK11-AK12-AK13+AK9)))</f>
        <v/>
      </c>
      <c r="AL17" s="22">
        <f>MIN(AL16*Assumptions!$H$117*Models!$H$36,MAX(0,Models!$H$27-(AL11-AL12-AL13+AL9)))</f>
        <v/>
      </c>
      <c r="AM17" s="22">
        <f>MIN(AM16*Assumptions!$H$117*Models!$H$36,MAX(0,Models!$H$27-(AM11-AM12-AM13+AM9)))</f>
        <v/>
      </c>
      <c r="AN17" s="22">
        <f>MIN(AN16*Assumptions!$H$117*Models!$H$36,MAX(0,Models!$H$27-(AN11-AN12-AN13+AN9)))</f>
        <v/>
      </c>
      <c r="AO17" s="22">
        <f>MIN(AO16*Assumptions!$H$117*Models!$H$36,MAX(0,Models!$H$27-(AO11-AO12-AO13+AO9)))</f>
        <v/>
      </c>
      <c r="AP17" s="22">
        <f>MIN(AP16*Assumptions!$H$117*Models!$H$36,MAX(0,Models!$H$27-(AP11-AP12-AP13+AP9)))</f>
        <v/>
      </c>
      <c r="AQ17" s="22">
        <f>MIN(AQ16*Assumptions!$H$117*Models!$H$36,MAX(0,Models!$H$27-(AQ11-AQ12-AQ13+AQ9)))</f>
        <v/>
      </c>
      <c r="AR17" s="22">
        <f>MIN(AR16*Assumptions!$H$117*Models!$H$36,MAX(0,Models!$H$27-(AR11-AR12-AR13+AR9)))</f>
        <v/>
      </c>
      <c r="AS17" s="22">
        <f>MIN(AS16*Assumptions!$H$117*Models!$H$36,MAX(0,Models!$H$27-(AS11-AS12-AS13+AS9)))</f>
        <v/>
      </c>
      <c r="AT17" s="22">
        <f>MIN(AT16*Assumptions!$H$117*Models!$H$36,MAX(0,Models!$H$27-(AT11-AT12-AT13+AT9)))</f>
        <v/>
      </c>
      <c r="AU17" s="22">
        <f>MIN(AU16*Assumptions!$H$117*Models!$H$36,MAX(0,Models!$H$27-(AU11-AU12-AU13+AU9)))</f>
        <v/>
      </c>
      <c r="AV17" s="22">
        <f>MIN(AV16*Assumptions!$H$117*Models!$H$36,MAX(0,Models!$H$27-(AV11-AV12-AV13+AV9)))</f>
        <v/>
      </c>
      <c r="AW17" s="22">
        <f>MIN(AW16*Assumptions!$H$117*Models!$H$36,MAX(0,Models!$H$27-(AW11-AW12-AW13+AW9)))</f>
        <v/>
      </c>
      <c r="AX17" s="22">
        <f>MIN(AX16*Assumptions!$H$117*Models!$H$36,MAX(0,Models!$H$27-(AX11-AX12-AX13+AX9)))</f>
        <v/>
      </c>
      <c r="AY17" s="22">
        <f>MIN(AY16*Assumptions!$H$117*Models!$H$36,MAX(0,Models!$H$27-(AY11-AY12-AY13+AY9)))</f>
        <v/>
      </c>
      <c r="AZ17" s="22">
        <f>MIN(AZ16*Assumptions!$H$117*Models!$H$36,MAX(0,Models!$H$27-(AZ11-AZ12-AZ13+AZ9)))</f>
        <v/>
      </c>
      <c r="BA17" s="22">
        <f>MIN(BA16*Assumptions!$H$117*Models!$H$36,MAX(0,Models!$H$27-(BA11-BA12-BA13+BA9)))</f>
        <v/>
      </c>
      <c r="BB17" s="22">
        <f>MIN(BB16*Assumptions!$H$117*Models!$H$36,MAX(0,Models!$H$27-(BB11-BB12-BB13+BB9)))</f>
        <v/>
      </c>
      <c r="BC17" s="22">
        <f>MIN(BC16*Assumptions!$H$117*Models!$H$36,MAX(0,Models!$H$27-(BC11-BC12-BC13+BC9)))</f>
        <v/>
      </c>
      <c r="BD17" s="22">
        <f>MIN(BD16*Assumptions!$H$117*Models!$H$36,MAX(0,Models!$H$27-(BD11-BD12-BD13+BD9)))</f>
        <v/>
      </c>
      <c r="BE17" s="22">
        <f>MIN(BE16*Assumptions!$H$117*Models!$H$36,MAX(0,Models!$H$27-(BE11-BE12-BE13+BE9)))</f>
        <v/>
      </c>
      <c r="BF17" s="22">
        <f>MIN(BF16*Assumptions!$H$117*Models!$H$36,MAX(0,Models!$H$27-(BF11-BF12-BF13+BF9)))</f>
        <v/>
      </c>
      <c r="BG17" s="22">
        <f>MIN(BG16*Assumptions!$H$117*Models!$H$36,MAX(0,Models!$H$27-(BG11-BG12-BG13+BG9)))</f>
        <v/>
      </c>
      <c r="BH17" s="22">
        <f>MIN(BH16*Assumptions!$H$117*Models!$H$36,MAX(0,Models!$H$27-(BH11-BH12-BH13+BH9)))</f>
        <v/>
      </c>
      <c r="BI17" s="22">
        <f>MIN(BI16*Assumptions!$H$117*Models!$H$36,MAX(0,Models!$H$27-(BI11-BI12-BI13+BI9)))</f>
        <v/>
      </c>
      <c r="BJ17" s="22">
        <f>MIN(BJ16*Assumptions!$H$117*Models!$H$36,MAX(0,Models!$H$27-(BJ11-BJ12-BJ13+BJ9)))</f>
        <v/>
      </c>
      <c r="BK17" s="22">
        <f>MIN(BK16*Assumptions!$H$117*Models!$H$36,MAX(0,Models!$H$27-(BK11-BK12-BK13+BK9)))</f>
        <v/>
      </c>
      <c r="BL17" s="22">
        <f>MIN(BL16*Assumptions!$H$117*Models!$H$36,MAX(0,Models!$H$27-(BL11-BL12-BL13+BL9)))</f>
        <v/>
      </c>
      <c r="BM17" s="22">
        <f>MIN(BM16*Assumptions!$H$117*Models!$H$36,MAX(0,Models!$H$27-(BM11-BM12-BM13+BM9)))</f>
        <v/>
      </c>
      <c r="BN17" s="22">
        <f>MIN(BN16*Assumptions!$H$117*Models!$H$36,MAX(0,Models!$H$27-(BN11-BN12-BN13+BN9)))</f>
        <v/>
      </c>
      <c r="BO17" s="22">
        <f>MIN(BO16*Assumptions!$H$117*Models!$H$36,MAX(0,Models!$H$27-(BO11-BO12-BO13+BO9)))</f>
        <v/>
      </c>
      <c r="BP17" s="22">
        <f>MIN(BP16*Assumptions!$H$117*Models!$H$36,MAX(0,Models!$H$27-(BP11-BP12-BP13+BP9)))</f>
        <v/>
      </c>
      <c r="BQ17" s="22">
        <f>MIN(BQ16*Assumptions!$H$117*Models!$H$36,MAX(0,Models!$H$27-(BQ11-BQ12-BQ13+BQ9)))</f>
        <v/>
      </c>
      <c r="BR17" s="22">
        <f>MIN(BR16*Assumptions!$H$117*Models!$H$36,MAX(0,Models!$H$27-(BR11-BR12-BR13+BR9)))</f>
        <v/>
      </c>
      <c r="BS17" s="22">
        <f>MIN(BS16*Assumptions!$H$117*Models!$H$36,MAX(0,Models!$H$27-(BS11-BS12-BS13+BS9)))</f>
        <v/>
      </c>
      <c r="BT17" s="22">
        <f>MIN(BT16*Assumptions!$H$117*Models!$H$36,MAX(0,Models!$H$27-(BT11-BT12-BT13+BT9)))</f>
        <v/>
      </c>
      <c r="BU17" s="22">
        <f>MIN(BU16*Assumptions!$H$117*Models!$H$36,MAX(0,Models!$H$27-(BU11-BU12-BU13+BU9)))</f>
        <v/>
      </c>
      <c r="BV17" s="22">
        <f>MIN(BV16*Assumptions!$H$117*Models!$H$36,MAX(0,Models!$H$27-(BV11-BV12-BV13+BV9)))</f>
        <v/>
      </c>
      <c r="BW17" s="22">
        <f>MIN(BW16*Assumptions!$H$117*Models!$H$36,MAX(0,Models!$H$27-(BW11-BW12-BW13+BW9)))</f>
        <v/>
      </c>
      <c r="BX17" s="22">
        <f>MIN(BX16*Assumptions!$H$117*Models!$H$36,MAX(0,Models!$H$27-(BX11-BX12-BX13+BX9)))</f>
        <v/>
      </c>
      <c r="BY17" s="22">
        <f>MIN(BY16*Assumptions!$H$117*Models!$H$36,MAX(0,Models!$H$27-(BY11-BY12-BY13+BY9)))</f>
        <v/>
      </c>
      <c r="BZ17" s="22">
        <f>MIN(BZ16*Assumptions!$H$117*Models!$H$36,MAX(0,Models!$H$27-(BZ11-BZ12-BZ13+BZ9)))</f>
        <v/>
      </c>
      <c r="CA17" s="22">
        <f>MIN(CA16*Assumptions!$H$117*Models!$H$36,MAX(0,Models!$H$27-(CA11-CA12-CA13+CA9)))</f>
        <v/>
      </c>
      <c r="CB17" s="22">
        <f>MIN(CB16*Assumptions!$H$117*Models!$H$36,MAX(0,Models!$H$27-(CB11-CB12-CB13+CB9)))</f>
        <v/>
      </c>
      <c r="CC17" s="22">
        <f>MIN(CC16*Assumptions!$H$117*Models!$H$36,MAX(0,Models!$H$27-(CC11-CC12-CC13+CC9)))</f>
        <v/>
      </c>
      <c r="CD17" s="22">
        <f>MIN(CD16*Assumptions!$H$117*Models!$H$36,MAX(0,Models!$H$27-(CD11-CD12-CD13+CD9)))</f>
        <v/>
      </c>
      <c r="CE17" s="22">
        <f>MIN(CE16*Assumptions!$H$117*Models!$H$36,MAX(0,Models!$H$27-(CE11-CE12-CE13+CE9)))</f>
        <v/>
      </c>
      <c r="CF17" s="22">
        <f>MIN(CF16*Assumptions!$H$117*Models!$H$36,MAX(0,Models!$H$27-(CF11-CF12-CF13+CF9)))</f>
        <v/>
      </c>
      <c r="CG17" s="22">
        <f>MIN(CG16*Assumptions!$H$117*Models!$H$36,MAX(0,Models!$H$27-(CG11-CG12-CG13+CG9)))</f>
        <v/>
      </c>
      <c r="CH17" s="22">
        <f>MIN(CH16*Assumptions!$H$117*Models!$H$36,MAX(0,Models!$H$27-(CH11-CH12-CH13+CH9)))</f>
        <v/>
      </c>
      <c r="CI17" s="22">
        <f>MIN(CI16*Assumptions!$H$117*Models!$H$36,MAX(0,Models!$H$27-(CI11-CI12-CI13+CI9)))</f>
        <v/>
      </c>
      <c r="CJ17" s="22">
        <f>MIN(CJ16*Assumptions!$H$117*Models!$H$36,MAX(0,Models!$H$27-(CJ11-CJ12-CJ13+CJ9)))</f>
        <v/>
      </c>
      <c r="CK17" s="22">
        <f>MIN(CK16*Assumptions!$H$117*Models!$H$36,MAX(0,Models!$H$27-(CK11-CK12-CK13+CK9)))</f>
        <v/>
      </c>
      <c r="CL17" s="22">
        <f>MIN(CL16*Assumptions!$H$117*Models!$H$36,MAX(0,Models!$H$27-(CL11-CL12-CL13+CL9)))</f>
        <v/>
      </c>
      <c r="CM17" s="22">
        <f>MIN(CM16*Assumptions!$H$117*Models!$H$36,MAX(0,Models!$H$27-(CM11-CM12-CM13+CM9)))</f>
        <v/>
      </c>
      <c r="CN17" s="22">
        <f>MIN(CN16*Assumptions!$H$117*Models!$H$36,MAX(0,Models!$H$27-(CN11-CN12-CN13+CN9)))</f>
        <v/>
      </c>
      <c r="CO17" s="22">
        <f>MIN(CO16*Assumptions!$H$117*Models!$H$36,MAX(0,Models!$H$27-(CO11-CO12-CO13+CO9)))</f>
        <v/>
      </c>
      <c r="CP17" s="22">
        <f>MIN(CP16*Assumptions!$H$117*Models!$H$36,MAX(0,Models!$H$27-(CP11-CP12-CP13+CP9)))</f>
        <v/>
      </c>
      <c r="CQ17" s="22">
        <f>MIN(CQ16*Assumptions!$H$117*Models!$H$36,MAX(0,Models!$H$27-(CQ11-CQ12-CQ13+CQ9)))</f>
        <v/>
      </c>
      <c r="CR17" s="22">
        <f>MIN(CR16*Assumptions!$H$117*Models!$H$36,MAX(0,Models!$H$27-(CR11-CR12-CR13+CR9)))</f>
        <v/>
      </c>
      <c r="CS17" s="22">
        <f>MIN(CS16*Assumptions!$H$117*Models!$H$36,MAX(0,Models!$H$27-(CS11-CS12-CS13+CS9)))</f>
        <v/>
      </c>
      <c r="CT17" s="22">
        <f>MIN(CT16*Assumptions!$H$117*Models!$H$36,MAX(0,Models!$H$27-(CT11-CT12-CT13+CT9)))</f>
        <v/>
      </c>
      <c r="CU17" s="22">
        <f>MIN(CU16*Assumptions!$H$117*Models!$H$36,MAX(0,Models!$H$27-(CU11-CU12-CU13+CU9)))</f>
        <v/>
      </c>
      <c r="CV17" s="22">
        <f>MIN(CV16*Assumptions!$H$117*Models!$H$36,MAX(0,Models!$H$27-(CV11-CV12-CV13+CV9)))</f>
        <v/>
      </c>
      <c r="CW17" s="22">
        <f>MIN(CW16*Assumptions!$H$117*Models!$H$36,MAX(0,Models!$H$27-(CW11-CW12-CW13+CW9)))</f>
        <v/>
      </c>
      <c r="CX17" s="22">
        <f>MIN(CX16*Assumptions!$H$117*Models!$H$36,MAX(0,Models!$H$27-(CX11-CX12-CX13+CX9)))</f>
        <v/>
      </c>
      <c r="CY17" s="22">
        <f>MIN(CY16*Assumptions!$H$117*Models!$H$36,MAX(0,Models!$H$27-(CY11-CY12-CY13+CY9)))</f>
        <v/>
      </c>
      <c r="CZ17" s="22">
        <f>MIN(CZ16*Assumptions!$H$117*Models!$H$36,MAX(0,Models!$H$27-(CZ11-CZ12-CZ13+CZ9)))</f>
        <v/>
      </c>
      <c r="DA17" s="22">
        <f>MIN(DA16*Assumptions!$H$117*Models!$H$36,MAX(0,Models!$H$27-(DA11-DA12-DA13+DA9)))</f>
        <v/>
      </c>
      <c r="DB17" s="22">
        <f>MIN(DB16*Assumptions!$H$117*Models!$H$36,MAX(0,Models!$H$27-(DB11-DB12-DB13+DB9)))</f>
        <v/>
      </c>
      <c r="DC17" s="22">
        <f>MIN(DC16*Assumptions!$H$117*Models!$H$36,MAX(0,Models!$H$27-(DC11-DC12-DC13+DC9)))</f>
        <v/>
      </c>
      <c r="DD17" s="22">
        <f>MIN(DD16*Assumptions!$H$117*Models!$H$36,MAX(0,Models!$H$27-(DD11-DD12-DD13+DD9)))</f>
        <v/>
      </c>
      <c r="DE17" s="22">
        <f>MIN(DE16*Assumptions!$H$117*Models!$H$36,MAX(0,Models!$H$27-(DE11-DE12-DE13+DE9)))</f>
        <v/>
      </c>
      <c r="DF17" s="22">
        <f>MIN(DF16*Assumptions!$H$117*Models!$H$36,MAX(0,Models!$H$27-(DF11-DF12-DF13+DF9)))</f>
        <v/>
      </c>
      <c r="DG17" s="22">
        <f>MIN(DG16*Assumptions!$H$117*Models!$H$36,MAX(0,Models!$H$27-(DG11-DG12-DG13+DG9)))</f>
        <v/>
      </c>
      <c r="DH17" s="22">
        <f>MIN(DH16*Assumptions!$H$117*Models!$H$36,MAX(0,Models!$H$27-(DH11-DH12-DH13+DH9)))</f>
        <v/>
      </c>
      <c r="DI17" s="22">
        <f>MIN(DI16*Assumptions!$H$117*Models!$H$36,MAX(0,Models!$H$27-(DI11-DI12-DI13+DI9)))</f>
        <v/>
      </c>
      <c r="DJ17" s="22">
        <f>MIN(DJ16*Assumptions!$H$117*Models!$H$36,MAX(0,Models!$H$27-(DJ11-DJ12-DJ13+DJ9)))</f>
        <v/>
      </c>
      <c r="DK17" s="22">
        <f>MIN(DK16*Assumptions!$H$117*Models!$H$36,MAX(0,Models!$H$27-(DK11-DK12-DK13+DK9)))</f>
        <v/>
      </c>
      <c r="DL17" s="22">
        <f>MIN(DL16*Assumptions!$H$117*Models!$H$36,MAX(0,Models!$H$27-(DL11-DL12-DL13+DL9)))</f>
        <v/>
      </c>
      <c r="DM17" s="22">
        <f>MIN(DM16*Assumptions!$H$117*Models!$H$36,MAX(0,Models!$H$27-(DM11-DM12-DM13+DM9)))</f>
        <v/>
      </c>
      <c r="DN17" s="22">
        <f>MIN(DN16*Assumptions!$H$117*Models!$H$36,MAX(0,Models!$H$27-(DN11-DN12-DN13+DN9)))</f>
        <v/>
      </c>
      <c r="DO17" s="22">
        <f>MIN(DO16*Assumptions!$H$117*Models!$H$36,MAX(0,Models!$H$27-(DO11-DO12-DO13+DO9)))</f>
        <v/>
      </c>
      <c r="DP17" s="22">
        <f>MIN(DP16*Assumptions!$H$117*Models!$H$36,MAX(0,Models!$H$27-(DP11-DP12-DP13+DP9)))</f>
        <v/>
      </c>
      <c r="DQ17" s="22">
        <f>MIN(DQ16*Assumptions!$H$117*Models!$H$36,MAX(0,Models!$H$27-(DQ11-DQ12-DQ13+DQ9)))</f>
        <v/>
      </c>
      <c r="DR17" s="22">
        <f>MIN(DR16*Assumptions!$H$117*Models!$H$36,MAX(0,Models!$H$27-(DR11-DR12-DR13+DR9)))</f>
        <v/>
      </c>
      <c r="DS17" s="22">
        <f>MIN(DS16*Assumptions!$H$117*Models!$H$36,MAX(0,Models!$H$27-(DS11-DS12-DS13+DS9)))</f>
        <v/>
      </c>
    </row>
    <row r="18">
      <c r="A18" s="2" t="inlineStr">
        <is>
          <t>GT_FCLOSE</t>
        </is>
      </c>
      <c r="B18" s="3" t="inlineStr">
        <is>
          <t>Breeding females, closing</t>
        </is>
      </c>
      <c r="C18" s="2" t="inlineStr">
        <is>
          <t>head</t>
        </is>
      </c>
      <c r="D18" s="35">
        <f>D11-D12-D13+D9+D17</f>
        <v/>
      </c>
      <c r="E18" s="35">
        <f>E11-E12-E13+E9+E17</f>
        <v/>
      </c>
      <c r="F18" s="35">
        <f>F11-F12-F13+F9+F17</f>
        <v/>
      </c>
      <c r="G18" s="35">
        <f>G11-G12-G13+G9+G17</f>
        <v/>
      </c>
      <c r="H18" s="35">
        <f>H11-H12-H13+H9+H17</f>
        <v/>
      </c>
      <c r="I18" s="35">
        <f>I11-I12-I13+I9+I17</f>
        <v/>
      </c>
      <c r="J18" s="35">
        <f>J11-J12-J13+J9+J17</f>
        <v/>
      </c>
      <c r="K18" s="35">
        <f>K11-K12-K13+K9+K17</f>
        <v/>
      </c>
      <c r="L18" s="35">
        <f>L11-L12-L13+L9+L17</f>
        <v/>
      </c>
      <c r="M18" s="35">
        <f>M11-M12-M13+M9+M17</f>
        <v/>
      </c>
      <c r="N18" s="35">
        <f>N11-N12-N13+N9+N17</f>
        <v/>
      </c>
      <c r="O18" s="35">
        <f>O11-O12-O13+O9+O17</f>
        <v/>
      </c>
      <c r="P18" s="35">
        <f>P11-P12-P13+P9+P17</f>
        <v/>
      </c>
      <c r="Q18" s="35">
        <f>Q11-Q12-Q13+Q9+Q17</f>
        <v/>
      </c>
      <c r="R18" s="35">
        <f>R11-R12-R13+R9+R17</f>
        <v/>
      </c>
      <c r="S18" s="35">
        <f>S11-S12-S13+S9+S17</f>
        <v/>
      </c>
      <c r="T18" s="35">
        <f>T11-T12-T13+T9+T17</f>
        <v/>
      </c>
      <c r="U18" s="35">
        <f>U11-U12-U13+U9+U17</f>
        <v/>
      </c>
      <c r="V18" s="35">
        <f>V11-V12-V13+V9+V17</f>
        <v/>
      </c>
      <c r="W18" s="35">
        <f>W11-W12-W13+W9+W17</f>
        <v/>
      </c>
      <c r="X18" s="35">
        <f>X11-X12-X13+X9+X17</f>
        <v/>
      </c>
      <c r="Y18" s="35">
        <f>Y11-Y12-Y13+Y9+Y17</f>
        <v/>
      </c>
      <c r="Z18" s="35">
        <f>Z11-Z12-Z13+Z9+Z17</f>
        <v/>
      </c>
      <c r="AA18" s="35">
        <f>AA11-AA12-AA13+AA9+AA17</f>
        <v/>
      </c>
      <c r="AB18" s="35">
        <f>AB11-AB12-AB13+AB9+AB17</f>
        <v/>
      </c>
      <c r="AC18" s="35">
        <f>AC11-AC12-AC13+AC9+AC17</f>
        <v/>
      </c>
      <c r="AD18" s="35">
        <f>AD11-AD12-AD13+AD9+AD17</f>
        <v/>
      </c>
      <c r="AE18" s="35">
        <f>AE11-AE12-AE13+AE9+AE17</f>
        <v/>
      </c>
      <c r="AF18" s="35">
        <f>AF11-AF12-AF13+AF9+AF17</f>
        <v/>
      </c>
      <c r="AG18" s="35">
        <f>AG11-AG12-AG13+AG9+AG17</f>
        <v/>
      </c>
      <c r="AH18" s="35">
        <f>AH11-AH12-AH13+AH9+AH17</f>
        <v/>
      </c>
      <c r="AI18" s="35">
        <f>AI11-AI12-AI13+AI9+AI17</f>
        <v/>
      </c>
      <c r="AJ18" s="35">
        <f>AJ11-AJ12-AJ13+AJ9+AJ17</f>
        <v/>
      </c>
      <c r="AK18" s="35">
        <f>AK11-AK12-AK13+AK9+AK17</f>
        <v/>
      </c>
      <c r="AL18" s="35">
        <f>AL11-AL12-AL13+AL9+AL17</f>
        <v/>
      </c>
      <c r="AM18" s="35">
        <f>AM11-AM12-AM13+AM9+AM17</f>
        <v/>
      </c>
      <c r="AN18" s="35">
        <f>AN11-AN12-AN13+AN9+AN17</f>
        <v/>
      </c>
      <c r="AO18" s="35">
        <f>AO11-AO12-AO13+AO9+AO17</f>
        <v/>
      </c>
      <c r="AP18" s="35">
        <f>AP11-AP12-AP13+AP9+AP17</f>
        <v/>
      </c>
      <c r="AQ18" s="35">
        <f>AQ11-AQ12-AQ13+AQ9+AQ17</f>
        <v/>
      </c>
      <c r="AR18" s="35">
        <f>AR11-AR12-AR13+AR9+AR17</f>
        <v/>
      </c>
      <c r="AS18" s="35">
        <f>AS11-AS12-AS13+AS9+AS17</f>
        <v/>
      </c>
      <c r="AT18" s="35">
        <f>AT11-AT12-AT13+AT9+AT17</f>
        <v/>
      </c>
      <c r="AU18" s="35">
        <f>AU11-AU12-AU13+AU9+AU17</f>
        <v/>
      </c>
      <c r="AV18" s="35">
        <f>AV11-AV12-AV13+AV9+AV17</f>
        <v/>
      </c>
      <c r="AW18" s="35">
        <f>AW11-AW12-AW13+AW9+AW17</f>
        <v/>
      </c>
      <c r="AX18" s="35">
        <f>AX11-AX12-AX13+AX9+AX17</f>
        <v/>
      </c>
      <c r="AY18" s="35">
        <f>AY11-AY12-AY13+AY9+AY17</f>
        <v/>
      </c>
      <c r="AZ18" s="35">
        <f>AZ11-AZ12-AZ13+AZ9+AZ17</f>
        <v/>
      </c>
      <c r="BA18" s="35">
        <f>BA11-BA12-BA13+BA9+BA17</f>
        <v/>
      </c>
      <c r="BB18" s="35">
        <f>BB11-BB12-BB13+BB9+BB17</f>
        <v/>
      </c>
      <c r="BC18" s="35">
        <f>BC11-BC12-BC13+BC9+BC17</f>
        <v/>
      </c>
      <c r="BD18" s="35">
        <f>BD11-BD12-BD13+BD9+BD17</f>
        <v/>
      </c>
      <c r="BE18" s="35">
        <f>BE11-BE12-BE13+BE9+BE17</f>
        <v/>
      </c>
      <c r="BF18" s="35">
        <f>BF11-BF12-BF13+BF9+BF17</f>
        <v/>
      </c>
      <c r="BG18" s="35">
        <f>BG11-BG12-BG13+BG9+BG17</f>
        <v/>
      </c>
      <c r="BH18" s="35">
        <f>BH11-BH12-BH13+BH9+BH17</f>
        <v/>
      </c>
      <c r="BI18" s="35">
        <f>BI11-BI12-BI13+BI9+BI17</f>
        <v/>
      </c>
      <c r="BJ18" s="35">
        <f>BJ11-BJ12-BJ13+BJ9+BJ17</f>
        <v/>
      </c>
      <c r="BK18" s="35">
        <f>BK11-BK12-BK13+BK9+BK17</f>
        <v/>
      </c>
      <c r="BL18" s="35">
        <f>BL11-BL12-BL13+BL9+BL17</f>
        <v/>
      </c>
      <c r="BM18" s="35">
        <f>BM11-BM12-BM13+BM9+BM17</f>
        <v/>
      </c>
      <c r="BN18" s="35">
        <f>BN11-BN12-BN13+BN9+BN17</f>
        <v/>
      </c>
      <c r="BO18" s="35">
        <f>BO11-BO12-BO13+BO9+BO17</f>
        <v/>
      </c>
      <c r="BP18" s="35">
        <f>BP11-BP12-BP13+BP9+BP17</f>
        <v/>
      </c>
      <c r="BQ18" s="35">
        <f>BQ11-BQ12-BQ13+BQ9+BQ17</f>
        <v/>
      </c>
      <c r="BR18" s="35">
        <f>BR11-BR12-BR13+BR9+BR17</f>
        <v/>
      </c>
      <c r="BS18" s="35">
        <f>BS11-BS12-BS13+BS9+BS17</f>
        <v/>
      </c>
      <c r="BT18" s="35">
        <f>BT11-BT12-BT13+BT9+BT17</f>
        <v/>
      </c>
      <c r="BU18" s="35">
        <f>BU11-BU12-BU13+BU9+BU17</f>
        <v/>
      </c>
      <c r="BV18" s="35">
        <f>BV11-BV12-BV13+BV9+BV17</f>
        <v/>
      </c>
      <c r="BW18" s="35">
        <f>BW11-BW12-BW13+BW9+BW17</f>
        <v/>
      </c>
      <c r="BX18" s="35">
        <f>BX11-BX12-BX13+BX9+BX17</f>
        <v/>
      </c>
      <c r="BY18" s="35">
        <f>BY11-BY12-BY13+BY9+BY17</f>
        <v/>
      </c>
      <c r="BZ18" s="35">
        <f>BZ11-BZ12-BZ13+BZ9+BZ17</f>
        <v/>
      </c>
      <c r="CA18" s="35">
        <f>CA11-CA12-CA13+CA9+CA17</f>
        <v/>
      </c>
      <c r="CB18" s="35">
        <f>CB11-CB12-CB13+CB9+CB17</f>
        <v/>
      </c>
      <c r="CC18" s="35">
        <f>CC11-CC12-CC13+CC9+CC17</f>
        <v/>
      </c>
      <c r="CD18" s="35">
        <f>CD11-CD12-CD13+CD9+CD17</f>
        <v/>
      </c>
      <c r="CE18" s="35">
        <f>CE11-CE12-CE13+CE9+CE17</f>
        <v/>
      </c>
      <c r="CF18" s="35">
        <f>CF11-CF12-CF13+CF9+CF17</f>
        <v/>
      </c>
      <c r="CG18" s="35">
        <f>CG11-CG12-CG13+CG9+CG17</f>
        <v/>
      </c>
      <c r="CH18" s="35">
        <f>CH11-CH12-CH13+CH9+CH17</f>
        <v/>
      </c>
      <c r="CI18" s="35">
        <f>CI11-CI12-CI13+CI9+CI17</f>
        <v/>
      </c>
      <c r="CJ18" s="35">
        <f>CJ11-CJ12-CJ13+CJ9+CJ17</f>
        <v/>
      </c>
      <c r="CK18" s="35">
        <f>CK11-CK12-CK13+CK9+CK17</f>
        <v/>
      </c>
      <c r="CL18" s="35">
        <f>CL11-CL12-CL13+CL9+CL17</f>
        <v/>
      </c>
      <c r="CM18" s="35">
        <f>CM11-CM12-CM13+CM9+CM17</f>
        <v/>
      </c>
      <c r="CN18" s="35">
        <f>CN11-CN12-CN13+CN9+CN17</f>
        <v/>
      </c>
      <c r="CO18" s="35">
        <f>CO11-CO12-CO13+CO9+CO17</f>
        <v/>
      </c>
      <c r="CP18" s="35">
        <f>CP11-CP12-CP13+CP9+CP17</f>
        <v/>
      </c>
      <c r="CQ18" s="35">
        <f>CQ11-CQ12-CQ13+CQ9+CQ17</f>
        <v/>
      </c>
      <c r="CR18" s="35">
        <f>CR11-CR12-CR13+CR9+CR17</f>
        <v/>
      </c>
      <c r="CS18" s="35">
        <f>CS11-CS12-CS13+CS9+CS17</f>
        <v/>
      </c>
      <c r="CT18" s="35">
        <f>CT11-CT12-CT13+CT9+CT17</f>
        <v/>
      </c>
      <c r="CU18" s="35">
        <f>CU11-CU12-CU13+CU9+CU17</f>
        <v/>
      </c>
      <c r="CV18" s="35">
        <f>CV11-CV12-CV13+CV9+CV17</f>
        <v/>
      </c>
      <c r="CW18" s="35">
        <f>CW11-CW12-CW13+CW9+CW17</f>
        <v/>
      </c>
      <c r="CX18" s="35">
        <f>CX11-CX12-CX13+CX9+CX17</f>
        <v/>
      </c>
      <c r="CY18" s="35">
        <f>CY11-CY12-CY13+CY9+CY17</f>
        <v/>
      </c>
      <c r="CZ18" s="35">
        <f>CZ11-CZ12-CZ13+CZ9+CZ17</f>
        <v/>
      </c>
      <c r="DA18" s="35">
        <f>DA11-DA12-DA13+DA9+DA17</f>
        <v/>
      </c>
      <c r="DB18" s="35">
        <f>DB11-DB12-DB13+DB9+DB17</f>
        <v/>
      </c>
      <c r="DC18" s="35">
        <f>DC11-DC12-DC13+DC9+DC17</f>
        <v/>
      </c>
      <c r="DD18" s="35">
        <f>DD11-DD12-DD13+DD9+DD17</f>
        <v/>
      </c>
      <c r="DE18" s="35">
        <f>DE11-DE12-DE13+DE9+DE17</f>
        <v/>
      </c>
      <c r="DF18" s="35">
        <f>DF11-DF12-DF13+DF9+DF17</f>
        <v/>
      </c>
      <c r="DG18" s="35">
        <f>DG11-DG12-DG13+DG9+DG17</f>
        <v/>
      </c>
      <c r="DH18" s="35">
        <f>DH11-DH12-DH13+DH9+DH17</f>
        <v/>
      </c>
      <c r="DI18" s="35">
        <f>DI11-DI12-DI13+DI9+DI17</f>
        <v/>
      </c>
      <c r="DJ18" s="35">
        <f>DJ11-DJ12-DJ13+DJ9+DJ17</f>
        <v/>
      </c>
      <c r="DK18" s="35">
        <f>DK11-DK12-DK13+DK9+DK17</f>
        <v/>
      </c>
      <c r="DL18" s="35">
        <f>DL11-DL12-DL13+DL9+DL17</f>
        <v/>
      </c>
      <c r="DM18" s="35">
        <f>DM11-DM12-DM13+DM9+DM17</f>
        <v/>
      </c>
      <c r="DN18" s="35">
        <f>DN11-DN12-DN13+DN9+DN17</f>
        <v/>
      </c>
      <c r="DO18" s="35">
        <f>DO11-DO12-DO13+DO9+DO17</f>
        <v/>
      </c>
      <c r="DP18" s="35">
        <f>DP11-DP12-DP13+DP9+DP17</f>
        <v/>
      </c>
      <c r="DQ18" s="35">
        <f>DQ11-DQ12-DQ13+DQ9+DQ17</f>
        <v/>
      </c>
      <c r="DR18" s="35">
        <f>DR11-DR12-DR13+DR9+DR17</f>
        <v/>
      </c>
      <c r="DS18" s="35">
        <f>DS11-DS12-DS13+DS9+DS17</f>
        <v/>
      </c>
    </row>
    <row r="19">
      <c r="A19" s="2" t="inlineStr">
        <is>
          <t>GT_YSOLD</t>
        </is>
      </c>
      <c r="B19" s="6" t="inlineStr">
        <is>
          <t>Young sold</t>
        </is>
      </c>
      <c r="C19" s="2" t="inlineStr">
        <is>
          <t>head</t>
        </is>
      </c>
      <c r="D19" s="22">
        <f>D16-D17</f>
        <v/>
      </c>
      <c r="E19" s="22">
        <f>E16-E17</f>
        <v/>
      </c>
      <c r="F19" s="22">
        <f>F16-F17</f>
        <v/>
      </c>
      <c r="G19" s="22">
        <f>G16-G17</f>
        <v/>
      </c>
      <c r="H19" s="22">
        <f>H16-H17</f>
        <v/>
      </c>
      <c r="I19" s="22">
        <f>I16-I17</f>
        <v/>
      </c>
      <c r="J19" s="22">
        <f>J16-J17</f>
        <v/>
      </c>
      <c r="K19" s="22">
        <f>K16-K17</f>
        <v/>
      </c>
      <c r="L19" s="22">
        <f>L16-L17</f>
        <v/>
      </c>
      <c r="M19" s="22">
        <f>M16-M17</f>
        <v/>
      </c>
      <c r="N19" s="22">
        <f>N16-N17</f>
        <v/>
      </c>
      <c r="O19" s="22">
        <f>O16-O17</f>
        <v/>
      </c>
      <c r="P19" s="22">
        <f>P16-P17</f>
        <v/>
      </c>
      <c r="Q19" s="22">
        <f>Q16-Q17</f>
        <v/>
      </c>
      <c r="R19" s="22">
        <f>R16-R17</f>
        <v/>
      </c>
      <c r="S19" s="22">
        <f>S16-S17</f>
        <v/>
      </c>
      <c r="T19" s="22">
        <f>T16-T17</f>
        <v/>
      </c>
      <c r="U19" s="22">
        <f>U16-U17</f>
        <v/>
      </c>
      <c r="V19" s="22">
        <f>V16-V17</f>
        <v/>
      </c>
      <c r="W19" s="22">
        <f>W16-W17</f>
        <v/>
      </c>
      <c r="X19" s="22">
        <f>X16-X17</f>
        <v/>
      </c>
      <c r="Y19" s="22">
        <f>Y16-Y17</f>
        <v/>
      </c>
      <c r="Z19" s="22">
        <f>Z16-Z17</f>
        <v/>
      </c>
      <c r="AA19" s="22">
        <f>AA16-AA17</f>
        <v/>
      </c>
      <c r="AB19" s="22">
        <f>AB16-AB17</f>
        <v/>
      </c>
      <c r="AC19" s="22">
        <f>AC16-AC17</f>
        <v/>
      </c>
      <c r="AD19" s="22">
        <f>AD16-AD17</f>
        <v/>
      </c>
      <c r="AE19" s="22">
        <f>AE16-AE17</f>
        <v/>
      </c>
      <c r="AF19" s="22">
        <f>AF16-AF17</f>
        <v/>
      </c>
      <c r="AG19" s="22">
        <f>AG16-AG17</f>
        <v/>
      </c>
      <c r="AH19" s="22">
        <f>AH16-AH17</f>
        <v/>
      </c>
      <c r="AI19" s="22">
        <f>AI16-AI17</f>
        <v/>
      </c>
      <c r="AJ19" s="22">
        <f>AJ16-AJ17</f>
        <v/>
      </c>
      <c r="AK19" s="22">
        <f>AK16-AK17</f>
        <v/>
      </c>
      <c r="AL19" s="22">
        <f>AL16-AL17</f>
        <v/>
      </c>
      <c r="AM19" s="22">
        <f>AM16-AM17</f>
        <v/>
      </c>
      <c r="AN19" s="22">
        <f>AN16-AN17</f>
        <v/>
      </c>
      <c r="AO19" s="22">
        <f>AO16-AO17</f>
        <v/>
      </c>
      <c r="AP19" s="22">
        <f>AP16-AP17</f>
        <v/>
      </c>
      <c r="AQ19" s="22">
        <f>AQ16-AQ17</f>
        <v/>
      </c>
      <c r="AR19" s="22">
        <f>AR16-AR17</f>
        <v/>
      </c>
      <c r="AS19" s="22">
        <f>AS16-AS17</f>
        <v/>
      </c>
      <c r="AT19" s="22">
        <f>AT16-AT17</f>
        <v/>
      </c>
      <c r="AU19" s="22">
        <f>AU16-AU17</f>
        <v/>
      </c>
      <c r="AV19" s="22">
        <f>AV16-AV17</f>
        <v/>
      </c>
      <c r="AW19" s="22">
        <f>AW16-AW17</f>
        <v/>
      </c>
      <c r="AX19" s="22">
        <f>AX16-AX17</f>
        <v/>
      </c>
      <c r="AY19" s="22">
        <f>AY16-AY17</f>
        <v/>
      </c>
      <c r="AZ19" s="22">
        <f>AZ16-AZ17</f>
        <v/>
      </c>
      <c r="BA19" s="22">
        <f>BA16-BA17</f>
        <v/>
      </c>
      <c r="BB19" s="22">
        <f>BB16-BB17</f>
        <v/>
      </c>
      <c r="BC19" s="22">
        <f>BC16-BC17</f>
        <v/>
      </c>
      <c r="BD19" s="22">
        <f>BD16-BD17</f>
        <v/>
      </c>
      <c r="BE19" s="22">
        <f>BE16-BE17</f>
        <v/>
      </c>
      <c r="BF19" s="22">
        <f>BF16-BF17</f>
        <v/>
      </c>
      <c r="BG19" s="22">
        <f>BG16-BG17</f>
        <v/>
      </c>
      <c r="BH19" s="22">
        <f>BH16-BH17</f>
        <v/>
      </c>
      <c r="BI19" s="22">
        <f>BI16-BI17</f>
        <v/>
      </c>
      <c r="BJ19" s="22">
        <f>BJ16-BJ17</f>
        <v/>
      </c>
      <c r="BK19" s="22">
        <f>BK16-BK17</f>
        <v/>
      </c>
      <c r="BL19" s="22">
        <f>BL16-BL17</f>
        <v/>
      </c>
      <c r="BM19" s="22">
        <f>BM16-BM17</f>
        <v/>
      </c>
      <c r="BN19" s="22">
        <f>BN16-BN17</f>
        <v/>
      </c>
      <c r="BO19" s="22">
        <f>BO16-BO17</f>
        <v/>
      </c>
      <c r="BP19" s="22">
        <f>BP16-BP17</f>
        <v/>
      </c>
      <c r="BQ19" s="22">
        <f>BQ16-BQ17</f>
        <v/>
      </c>
      <c r="BR19" s="22">
        <f>BR16-BR17</f>
        <v/>
      </c>
      <c r="BS19" s="22">
        <f>BS16-BS17</f>
        <v/>
      </c>
      <c r="BT19" s="22">
        <f>BT16-BT17</f>
        <v/>
      </c>
      <c r="BU19" s="22">
        <f>BU16-BU17</f>
        <v/>
      </c>
      <c r="BV19" s="22">
        <f>BV16-BV17</f>
        <v/>
      </c>
      <c r="BW19" s="22">
        <f>BW16-BW17</f>
        <v/>
      </c>
      <c r="BX19" s="22">
        <f>BX16-BX17</f>
        <v/>
      </c>
      <c r="BY19" s="22">
        <f>BY16-BY17</f>
        <v/>
      </c>
      <c r="BZ19" s="22">
        <f>BZ16-BZ17</f>
        <v/>
      </c>
      <c r="CA19" s="22">
        <f>CA16-CA17</f>
        <v/>
      </c>
      <c r="CB19" s="22">
        <f>CB16-CB17</f>
        <v/>
      </c>
      <c r="CC19" s="22">
        <f>CC16-CC17</f>
        <v/>
      </c>
      <c r="CD19" s="22">
        <f>CD16-CD17</f>
        <v/>
      </c>
      <c r="CE19" s="22">
        <f>CE16-CE17</f>
        <v/>
      </c>
      <c r="CF19" s="22">
        <f>CF16-CF17</f>
        <v/>
      </c>
      <c r="CG19" s="22">
        <f>CG16-CG17</f>
        <v/>
      </c>
      <c r="CH19" s="22">
        <f>CH16-CH17</f>
        <v/>
      </c>
      <c r="CI19" s="22">
        <f>CI16-CI17</f>
        <v/>
      </c>
      <c r="CJ19" s="22">
        <f>CJ16-CJ17</f>
        <v/>
      </c>
      <c r="CK19" s="22">
        <f>CK16-CK17</f>
        <v/>
      </c>
      <c r="CL19" s="22">
        <f>CL16-CL17</f>
        <v/>
      </c>
      <c r="CM19" s="22">
        <f>CM16-CM17</f>
        <v/>
      </c>
      <c r="CN19" s="22">
        <f>CN16-CN17</f>
        <v/>
      </c>
      <c r="CO19" s="22">
        <f>CO16-CO17</f>
        <v/>
      </c>
      <c r="CP19" s="22">
        <f>CP16-CP17</f>
        <v/>
      </c>
      <c r="CQ19" s="22">
        <f>CQ16-CQ17</f>
        <v/>
      </c>
      <c r="CR19" s="22">
        <f>CR16-CR17</f>
        <v/>
      </c>
      <c r="CS19" s="22">
        <f>CS16-CS17</f>
        <v/>
      </c>
      <c r="CT19" s="22">
        <f>CT16-CT17</f>
        <v/>
      </c>
      <c r="CU19" s="22">
        <f>CU16-CU17</f>
        <v/>
      </c>
      <c r="CV19" s="22">
        <f>CV16-CV17</f>
        <v/>
      </c>
      <c r="CW19" s="22">
        <f>CW16-CW17</f>
        <v/>
      </c>
      <c r="CX19" s="22">
        <f>CX16-CX17</f>
        <v/>
      </c>
      <c r="CY19" s="22">
        <f>CY16-CY17</f>
        <v/>
      </c>
      <c r="CZ19" s="22">
        <f>CZ16-CZ17</f>
        <v/>
      </c>
      <c r="DA19" s="22">
        <f>DA16-DA17</f>
        <v/>
      </c>
      <c r="DB19" s="22">
        <f>DB16-DB17</f>
        <v/>
      </c>
      <c r="DC19" s="22">
        <f>DC16-DC17</f>
        <v/>
      </c>
      <c r="DD19" s="22">
        <f>DD16-DD17</f>
        <v/>
      </c>
      <c r="DE19" s="22">
        <f>DE16-DE17</f>
        <v/>
      </c>
      <c r="DF19" s="22">
        <f>DF16-DF17</f>
        <v/>
      </c>
      <c r="DG19" s="22">
        <f>DG16-DG17</f>
        <v/>
      </c>
      <c r="DH19" s="22">
        <f>DH16-DH17</f>
        <v/>
      </c>
      <c r="DI19" s="22">
        <f>DI16-DI17</f>
        <v/>
      </c>
      <c r="DJ19" s="22">
        <f>DJ16-DJ17</f>
        <v/>
      </c>
      <c r="DK19" s="22">
        <f>DK16-DK17</f>
        <v/>
      </c>
      <c r="DL19" s="22">
        <f>DL16-DL17</f>
        <v/>
      </c>
      <c r="DM19" s="22">
        <f>DM16-DM17</f>
        <v/>
      </c>
      <c r="DN19" s="22">
        <f>DN16-DN17</f>
        <v/>
      </c>
      <c r="DO19" s="22">
        <f>DO16-DO17</f>
        <v/>
      </c>
      <c r="DP19" s="22">
        <f>DP16-DP17</f>
        <v/>
      </c>
      <c r="DQ19" s="22">
        <f>DQ16-DQ17</f>
        <v/>
      </c>
      <c r="DR19" s="22">
        <f>DR16-DR17</f>
        <v/>
      </c>
      <c r="DS19" s="22">
        <f>DS16-DS17</f>
        <v/>
      </c>
    </row>
    <row r="20">
      <c r="A20" s="2" t="inlineStr">
        <is>
          <t>GT_YHAND</t>
        </is>
      </c>
      <c r="B20" s="6" t="inlineStr">
        <is>
          <t>Young on hand</t>
        </is>
      </c>
      <c r="C20" s="2" t="inlineStr">
        <is>
          <t>head</t>
        </is>
      </c>
      <c r="D20" s="29">
        <f>0+D15-D16</f>
        <v/>
      </c>
      <c r="E20" s="29">
        <f>D20+E15-E16</f>
        <v/>
      </c>
      <c r="F20" s="29">
        <f>E20+F15-F16</f>
        <v/>
      </c>
      <c r="G20" s="29">
        <f>F20+G15-G16</f>
        <v/>
      </c>
      <c r="H20" s="29">
        <f>G20+H15-H16</f>
        <v/>
      </c>
      <c r="I20" s="29">
        <f>H20+I15-I16</f>
        <v/>
      </c>
      <c r="J20" s="29">
        <f>I20+J15-J16</f>
        <v/>
      </c>
      <c r="K20" s="29">
        <f>J20+K15-K16</f>
        <v/>
      </c>
      <c r="L20" s="29">
        <f>K20+L15-L16</f>
        <v/>
      </c>
      <c r="M20" s="29">
        <f>L20+M15-M16</f>
        <v/>
      </c>
      <c r="N20" s="29">
        <f>M20+N15-N16</f>
        <v/>
      </c>
      <c r="O20" s="29">
        <f>N20+O15-O16</f>
        <v/>
      </c>
      <c r="P20" s="29">
        <f>O20+P15-P16</f>
        <v/>
      </c>
      <c r="Q20" s="29">
        <f>P20+Q15-Q16</f>
        <v/>
      </c>
      <c r="R20" s="29">
        <f>Q20+R15-R16</f>
        <v/>
      </c>
      <c r="S20" s="29">
        <f>R20+S15-S16</f>
        <v/>
      </c>
      <c r="T20" s="29">
        <f>S20+T15-T16</f>
        <v/>
      </c>
      <c r="U20" s="29">
        <f>T20+U15-U16</f>
        <v/>
      </c>
      <c r="V20" s="29">
        <f>U20+V15-V16</f>
        <v/>
      </c>
      <c r="W20" s="29">
        <f>V20+W15-W16</f>
        <v/>
      </c>
      <c r="X20" s="29">
        <f>W20+X15-X16</f>
        <v/>
      </c>
      <c r="Y20" s="29">
        <f>X20+Y15-Y16</f>
        <v/>
      </c>
      <c r="Z20" s="29">
        <f>Y20+Z15-Z16</f>
        <v/>
      </c>
      <c r="AA20" s="29">
        <f>Z20+AA15-AA16</f>
        <v/>
      </c>
      <c r="AB20" s="29">
        <f>AA20+AB15-AB16</f>
        <v/>
      </c>
      <c r="AC20" s="29">
        <f>AB20+AC15-AC16</f>
        <v/>
      </c>
      <c r="AD20" s="29">
        <f>AC20+AD15-AD16</f>
        <v/>
      </c>
      <c r="AE20" s="29">
        <f>AD20+AE15-AE16</f>
        <v/>
      </c>
      <c r="AF20" s="29">
        <f>AE20+AF15-AF16</f>
        <v/>
      </c>
      <c r="AG20" s="29">
        <f>AF20+AG15-AG16</f>
        <v/>
      </c>
      <c r="AH20" s="29">
        <f>AG20+AH15-AH16</f>
        <v/>
      </c>
      <c r="AI20" s="29">
        <f>AH20+AI15-AI16</f>
        <v/>
      </c>
      <c r="AJ20" s="29">
        <f>AI20+AJ15-AJ16</f>
        <v/>
      </c>
      <c r="AK20" s="29">
        <f>AJ20+AK15-AK16</f>
        <v/>
      </c>
      <c r="AL20" s="29">
        <f>AK20+AL15-AL16</f>
        <v/>
      </c>
      <c r="AM20" s="29">
        <f>AL20+AM15-AM16</f>
        <v/>
      </c>
      <c r="AN20" s="29">
        <f>AM20+AN15-AN16</f>
        <v/>
      </c>
      <c r="AO20" s="29">
        <f>AN20+AO15-AO16</f>
        <v/>
      </c>
      <c r="AP20" s="29">
        <f>AO20+AP15-AP16</f>
        <v/>
      </c>
      <c r="AQ20" s="29">
        <f>AP20+AQ15-AQ16</f>
        <v/>
      </c>
      <c r="AR20" s="29">
        <f>AQ20+AR15-AR16</f>
        <v/>
      </c>
      <c r="AS20" s="29">
        <f>AR20+AS15-AS16</f>
        <v/>
      </c>
      <c r="AT20" s="29">
        <f>AS20+AT15-AT16</f>
        <v/>
      </c>
      <c r="AU20" s="29">
        <f>AT20+AU15-AU16</f>
        <v/>
      </c>
      <c r="AV20" s="29">
        <f>AU20+AV15-AV16</f>
        <v/>
      </c>
      <c r="AW20" s="29">
        <f>AV20+AW15-AW16</f>
        <v/>
      </c>
      <c r="AX20" s="29">
        <f>AW20+AX15-AX16</f>
        <v/>
      </c>
      <c r="AY20" s="29">
        <f>AX20+AY15-AY16</f>
        <v/>
      </c>
      <c r="AZ20" s="29">
        <f>AY20+AZ15-AZ16</f>
        <v/>
      </c>
      <c r="BA20" s="29">
        <f>AZ20+BA15-BA16</f>
        <v/>
      </c>
      <c r="BB20" s="29">
        <f>BA20+BB15-BB16</f>
        <v/>
      </c>
      <c r="BC20" s="29">
        <f>BB20+BC15-BC16</f>
        <v/>
      </c>
      <c r="BD20" s="29">
        <f>BC20+BD15-BD16</f>
        <v/>
      </c>
      <c r="BE20" s="29">
        <f>BD20+BE15-BE16</f>
        <v/>
      </c>
      <c r="BF20" s="29">
        <f>BE20+BF15-BF16</f>
        <v/>
      </c>
      <c r="BG20" s="29">
        <f>BF20+BG15-BG16</f>
        <v/>
      </c>
      <c r="BH20" s="29">
        <f>BG20+BH15-BH16</f>
        <v/>
      </c>
      <c r="BI20" s="29">
        <f>BH20+BI15-BI16</f>
        <v/>
      </c>
      <c r="BJ20" s="29">
        <f>BI20+BJ15-BJ16</f>
        <v/>
      </c>
      <c r="BK20" s="29">
        <f>BJ20+BK15-BK16</f>
        <v/>
      </c>
      <c r="BL20" s="29">
        <f>BK20+BL15-BL16</f>
        <v/>
      </c>
      <c r="BM20" s="29">
        <f>BL20+BM15-BM16</f>
        <v/>
      </c>
      <c r="BN20" s="29">
        <f>BM20+BN15-BN16</f>
        <v/>
      </c>
      <c r="BO20" s="29">
        <f>BN20+BO15-BO16</f>
        <v/>
      </c>
      <c r="BP20" s="29">
        <f>BO20+BP15-BP16</f>
        <v/>
      </c>
      <c r="BQ20" s="29">
        <f>BP20+BQ15-BQ16</f>
        <v/>
      </c>
      <c r="BR20" s="29">
        <f>BQ20+BR15-BR16</f>
        <v/>
      </c>
      <c r="BS20" s="29">
        <f>BR20+BS15-BS16</f>
        <v/>
      </c>
      <c r="BT20" s="29">
        <f>BS20+BT15-BT16</f>
        <v/>
      </c>
      <c r="BU20" s="29">
        <f>BT20+BU15-BU16</f>
        <v/>
      </c>
      <c r="BV20" s="29">
        <f>BU20+BV15-BV16</f>
        <v/>
      </c>
      <c r="BW20" s="29">
        <f>BV20+BW15-BW16</f>
        <v/>
      </c>
      <c r="BX20" s="29">
        <f>BW20+BX15-BX16</f>
        <v/>
      </c>
      <c r="BY20" s="29">
        <f>BX20+BY15-BY16</f>
        <v/>
      </c>
      <c r="BZ20" s="29">
        <f>BY20+BZ15-BZ16</f>
        <v/>
      </c>
      <c r="CA20" s="29">
        <f>BZ20+CA15-CA16</f>
        <v/>
      </c>
      <c r="CB20" s="29">
        <f>CA20+CB15-CB16</f>
        <v/>
      </c>
      <c r="CC20" s="29">
        <f>CB20+CC15-CC16</f>
        <v/>
      </c>
      <c r="CD20" s="29">
        <f>CC20+CD15-CD16</f>
        <v/>
      </c>
      <c r="CE20" s="29">
        <f>CD20+CE15-CE16</f>
        <v/>
      </c>
      <c r="CF20" s="29">
        <f>CE20+CF15-CF16</f>
        <v/>
      </c>
      <c r="CG20" s="29">
        <f>CF20+CG15-CG16</f>
        <v/>
      </c>
      <c r="CH20" s="29">
        <f>CG20+CH15-CH16</f>
        <v/>
      </c>
      <c r="CI20" s="29">
        <f>CH20+CI15-CI16</f>
        <v/>
      </c>
      <c r="CJ20" s="29">
        <f>CI20+CJ15-CJ16</f>
        <v/>
      </c>
      <c r="CK20" s="29">
        <f>CJ20+CK15-CK16</f>
        <v/>
      </c>
      <c r="CL20" s="29">
        <f>CK20+CL15-CL16</f>
        <v/>
      </c>
      <c r="CM20" s="29">
        <f>CL20+CM15-CM16</f>
        <v/>
      </c>
      <c r="CN20" s="29">
        <f>CM20+CN15-CN16</f>
        <v/>
      </c>
      <c r="CO20" s="29">
        <f>CN20+CO15-CO16</f>
        <v/>
      </c>
      <c r="CP20" s="29">
        <f>CO20+CP15-CP16</f>
        <v/>
      </c>
      <c r="CQ20" s="29">
        <f>CP20+CQ15-CQ16</f>
        <v/>
      </c>
      <c r="CR20" s="29">
        <f>CQ20+CR15-CR16</f>
        <v/>
      </c>
      <c r="CS20" s="29">
        <f>CR20+CS15-CS16</f>
        <v/>
      </c>
      <c r="CT20" s="29">
        <f>CS20+CT15-CT16</f>
        <v/>
      </c>
      <c r="CU20" s="29">
        <f>CT20+CU15-CU16</f>
        <v/>
      </c>
      <c r="CV20" s="29">
        <f>CU20+CV15-CV16</f>
        <v/>
      </c>
      <c r="CW20" s="29">
        <f>CV20+CW15-CW16</f>
        <v/>
      </c>
      <c r="CX20" s="29">
        <f>CW20+CX15-CX16</f>
        <v/>
      </c>
      <c r="CY20" s="29">
        <f>CX20+CY15-CY16</f>
        <v/>
      </c>
      <c r="CZ20" s="29">
        <f>CY20+CZ15-CZ16</f>
        <v/>
      </c>
      <c r="DA20" s="29">
        <f>CZ20+DA15-DA16</f>
        <v/>
      </c>
      <c r="DB20" s="29">
        <f>DA20+DB15-DB16</f>
        <v/>
      </c>
      <c r="DC20" s="29">
        <f>DB20+DC15-DC16</f>
        <v/>
      </c>
      <c r="DD20" s="29">
        <f>DC20+DD15-DD16</f>
        <v/>
      </c>
      <c r="DE20" s="29">
        <f>DD20+DE15-DE16</f>
        <v/>
      </c>
      <c r="DF20" s="29">
        <f>DE20+DF15-DF16</f>
        <v/>
      </c>
      <c r="DG20" s="29">
        <f>DF20+DG15-DG16</f>
        <v/>
      </c>
      <c r="DH20" s="29">
        <f>DG20+DH15-DH16</f>
        <v/>
      </c>
      <c r="DI20" s="29">
        <f>DH20+DI15-DI16</f>
        <v/>
      </c>
      <c r="DJ20" s="29">
        <f>DI20+DJ15-DJ16</f>
        <v/>
      </c>
      <c r="DK20" s="29">
        <f>DJ20+DK15-DK16</f>
        <v/>
      </c>
      <c r="DL20" s="29">
        <f>DK20+DL15-DL16</f>
        <v/>
      </c>
      <c r="DM20" s="29">
        <f>DL20+DM15-DM16</f>
        <v/>
      </c>
      <c r="DN20" s="29">
        <f>DM20+DN15-DN16</f>
        <v/>
      </c>
      <c r="DO20" s="29">
        <f>DN20+DO15-DO16</f>
        <v/>
      </c>
      <c r="DP20" s="29">
        <f>DO20+DP15-DP16</f>
        <v/>
      </c>
      <c r="DQ20" s="29">
        <f>DP20+DQ15-DQ16</f>
        <v/>
      </c>
      <c r="DR20" s="29">
        <f>DQ20+DR15-DR16</f>
        <v/>
      </c>
      <c r="DS20" s="29">
        <f>DR20+DS15-DS16</f>
        <v/>
      </c>
    </row>
    <row r="21">
      <c r="A21" s="2" t="inlineStr">
        <is>
          <t>GT_MNEED</t>
        </is>
      </c>
      <c r="B21" s="6" t="inlineStr">
        <is>
          <t>Breeding males needed</t>
        </is>
      </c>
      <c r="C21" s="2" t="inlineStr">
        <is>
          <t>head</t>
        </is>
      </c>
      <c r="D21" s="28">
        <f>IF(D18&gt;0,ROUNDUP(D18/Assumptions!$H$113,0),0)</f>
        <v/>
      </c>
      <c r="E21" s="28">
        <f>IF(E18&gt;0,ROUNDUP(E18/Assumptions!$H$113,0),0)</f>
        <v/>
      </c>
      <c r="F21" s="28">
        <f>IF(F18&gt;0,ROUNDUP(F18/Assumptions!$H$113,0),0)</f>
        <v/>
      </c>
      <c r="G21" s="28">
        <f>IF(G18&gt;0,ROUNDUP(G18/Assumptions!$H$113,0),0)</f>
        <v/>
      </c>
      <c r="H21" s="28">
        <f>IF(H18&gt;0,ROUNDUP(H18/Assumptions!$H$113,0),0)</f>
        <v/>
      </c>
      <c r="I21" s="28">
        <f>IF(I18&gt;0,ROUNDUP(I18/Assumptions!$H$113,0),0)</f>
        <v/>
      </c>
      <c r="J21" s="28">
        <f>IF(J18&gt;0,ROUNDUP(J18/Assumptions!$H$113,0),0)</f>
        <v/>
      </c>
      <c r="K21" s="28">
        <f>IF(K18&gt;0,ROUNDUP(K18/Assumptions!$H$113,0),0)</f>
        <v/>
      </c>
      <c r="L21" s="28">
        <f>IF(L18&gt;0,ROUNDUP(L18/Assumptions!$H$113,0),0)</f>
        <v/>
      </c>
      <c r="M21" s="28">
        <f>IF(M18&gt;0,ROUNDUP(M18/Assumptions!$H$113,0),0)</f>
        <v/>
      </c>
      <c r="N21" s="28">
        <f>IF(N18&gt;0,ROUNDUP(N18/Assumptions!$H$113,0),0)</f>
        <v/>
      </c>
      <c r="O21" s="28">
        <f>IF(O18&gt;0,ROUNDUP(O18/Assumptions!$H$113,0),0)</f>
        <v/>
      </c>
      <c r="P21" s="28">
        <f>IF(P18&gt;0,ROUNDUP(P18/Assumptions!$H$113,0),0)</f>
        <v/>
      </c>
      <c r="Q21" s="28">
        <f>IF(Q18&gt;0,ROUNDUP(Q18/Assumptions!$H$113,0),0)</f>
        <v/>
      </c>
      <c r="R21" s="28">
        <f>IF(R18&gt;0,ROUNDUP(R18/Assumptions!$H$113,0),0)</f>
        <v/>
      </c>
      <c r="S21" s="28">
        <f>IF(S18&gt;0,ROUNDUP(S18/Assumptions!$H$113,0),0)</f>
        <v/>
      </c>
      <c r="T21" s="28">
        <f>IF(T18&gt;0,ROUNDUP(T18/Assumptions!$H$113,0),0)</f>
        <v/>
      </c>
      <c r="U21" s="28">
        <f>IF(U18&gt;0,ROUNDUP(U18/Assumptions!$H$113,0),0)</f>
        <v/>
      </c>
      <c r="V21" s="28">
        <f>IF(V18&gt;0,ROUNDUP(V18/Assumptions!$H$113,0),0)</f>
        <v/>
      </c>
      <c r="W21" s="28">
        <f>IF(W18&gt;0,ROUNDUP(W18/Assumptions!$H$113,0),0)</f>
        <v/>
      </c>
      <c r="X21" s="28">
        <f>IF(X18&gt;0,ROUNDUP(X18/Assumptions!$H$113,0),0)</f>
        <v/>
      </c>
      <c r="Y21" s="28">
        <f>IF(Y18&gt;0,ROUNDUP(Y18/Assumptions!$H$113,0),0)</f>
        <v/>
      </c>
      <c r="Z21" s="28">
        <f>IF(Z18&gt;0,ROUNDUP(Z18/Assumptions!$H$113,0),0)</f>
        <v/>
      </c>
      <c r="AA21" s="28">
        <f>IF(AA18&gt;0,ROUNDUP(AA18/Assumptions!$H$113,0),0)</f>
        <v/>
      </c>
      <c r="AB21" s="28">
        <f>IF(AB18&gt;0,ROUNDUP(AB18/Assumptions!$H$113,0),0)</f>
        <v/>
      </c>
      <c r="AC21" s="28">
        <f>IF(AC18&gt;0,ROUNDUP(AC18/Assumptions!$H$113,0),0)</f>
        <v/>
      </c>
      <c r="AD21" s="28">
        <f>IF(AD18&gt;0,ROUNDUP(AD18/Assumptions!$H$113,0),0)</f>
        <v/>
      </c>
      <c r="AE21" s="28">
        <f>IF(AE18&gt;0,ROUNDUP(AE18/Assumptions!$H$113,0),0)</f>
        <v/>
      </c>
      <c r="AF21" s="28">
        <f>IF(AF18&gt;0,ROUNDUP(AF18/Assumptions!$H$113,0),0)</f>
        <v/>
      </c>
      <c r="AG21" s="28">
        <f>IF(AG18&gt;0,ROUNDUP(AG18/Assumptions!$H$113,0),0)</f>
        <v/>
      </c>
      <c r="AH21" s="28">
        <f>IF(AH18&gt;0,ROUNDUP(AH18/Assumptions!$H$113,0),0)</f>
        <v/>
      </c>
      <c r="AI21" s="28">
        <f>IF(AI18&gt;0,ROUNDUP(AI18/Assumptions!$H$113,0),0)</f>
        <v/>
      </c>
      <c r="AJ21" s="28">
        <f>IF(AJ18&gt;0,ROUNDUP(AJ18/Assumptions!$H$113,0),0)</f>
        <v/>
      </c>
      <c r="AK21" s="28">
        <f>IF(AK18&gt;0,ROUNDUP(AK18/Assumptions!$H$113,0),0)</f>
        <v/>
      </c>
      <c r="AL21" s="28">
        <f>IF(AL18&gt;0,ROUNDUP(AL18/Assumptions!$H$113,0),0)</f>
        <v/>
      </c>
      <c r="AM21" s="28">
        <f>IF(AM18&gt;0,ROUNDUP(AM18/Assumptions!$H$113,0),0)</f>
        <v/>
      </c>
      <c r="AN21" s="28">
        <f>IF(AN18&gt;0,ROUNDUP(AN18/Assumptions!$H$113,0),0)</f>
        <v/>
      </c>
      <c r="AO21" s="28">
        <f>IF(AO18&gt;0,ROUNDUP(AO18/Assumptions!$H$113,0),0)</f>
        <v/>
      </c>
      <c r="AP21" s="28">
        <f>IF(AP18&gt;0,ROUNDUP(AP18/Assumptions!$H$113,0),0)</f>
        <v/>
      </c>
      <c r="AQ21" s="28">
        <f>IF(AQ18&gt;0,ROUNDUP(AQ18/Assumptions!$H$113,0),0)</f>
        <v/>
      </c>
      <c r="AR21" s="28">
        <f>IF(AR18&gt;0,ROUNDUP(AR18/Assumptions!$H$113,0),0)</f>
        <v/>
      </c>
      <c r="AS21" s="28">
        <f>IF(AS18&gt;0,ROUNDUP(AS18/Assumptions!$H$113,0),0)</f>
        <v/>
      </c>
      <c r="AT21" s="28">
        <f>IF(AT18&gt;0,ROUNDUP(AT18/Assumptions!$H$113,0),0)</f>
        <v/>
      </c>
      <c r="AU21" s="28">
        <f>IF(AU18&gt;0,ROUNDUP(AU18/Assumptions!$H$113,0),0)</f>
        <v/>
      </c>
      <c r="AV21" s="28">
        <f>IF(AV18&gt;0,ROUNDUP(AV18/Assumptions!$H$113,0),0)</f>
        <v/>
      </c>
      <c r="AW21" s="28">
        <f>IF(AW18&gt;0,ROUNDUP(AW18/Assumptions!$H$113,0),0)</f>
        <v/>
      </c>
      <c r="AX21" s="28">
        <f>IF(AX18&gt;0,ROUNDUP(AX18/Assumptions!$H$113,0),0)</f>
        <v/>
      </c>
      <c r="AY21" s="28">
        <f>IF(AY18&gt;0,ROUNDUP(AY18/Assumptions!$H$113,0),0)</f>
        <v/>
      </c>
      <c r="AZ21" s="28">
        <f>IF(AZ18&gt;0,ROUNDUP(AZ18/Assumptions!$H$113,0),0)</f>
        <v/>
      </c>
      <c r="BA21" s="28">
        <f>IF(BA18&gt;0,ROUNDUP(BA18/Assumptions!$H$113,0),0)</f>
        <v/>
      </c>
      <c r="BB21" s="28">
        <f>IF(BB18&gt;0,ROUNDUP(BB18/Assumptions!$H$113,0),0)</f>
        <v/>
      </c>
      <c r="BC21" s="28">
        <f>IF(BC18&gt;0,ROUNDUP(BC18/Assumptions!$H$113,0),0)</f>
        <v/>
      </c>
      <c r="BD21" s="28">
        <f>IF(BD18&gt;0,ROUNDUP(BD18/Assumptions!$H$113,0),0)</f>
        <v/>
      </c>
      <c r="BE21" s="28">
        <f>IF(BE18&gt;0,ROUNDUP(BE18/Assumptions!$H$113,0),0)</f>
        <v/>
      </c>
      <c r="BF21" s="28">
        <f>IF(BF18&gt;0,ROUNDUP(BF18/Assumptions!$H$113,0),0)</f>
        <v/>
      </c>
      <c r="BG21" s="28">
        <f>IF(BG18&gt;0,ROUNDUP(BG18/Assumptions!$H$113,0),0)</f>
        <v/>
      </c>
      <c r="BH21" s="28">
        <f>IF(BH18&gt;0,ROUNDUP(BH18/Assumptions!$H$113,0),0)</f>
        <v/>
      </c>
      <c r="BI21" s="28">
        <f>IF(BI18&gt;0,ROUNDUP(BI18/Assumptions!$H$113,0),0)</f>
        <v/>
      </c>
      <c r="BJ21" s="28">
        <f>IF(BJ18&gt;0,ROUNDUP(BJ18/Assumptions!$H$113,0),0)</f>
        <v/>
      </c>
      <c r="BK21" s="28">
        <f>IF(BK18&gt;0,ROUNDUP(BK18/Assumptions!$H$113,0),0)</f>
        <v/>
      </c>
      <c r="BL21" s="28">
        <f>IF(BL18&gt;0,ROUNDUP(BL18/Assumptions!$H$113,0),0)</f>
        <v/>
      </c>
      <c r="BM21" s="28">
        <f>IF(BM18&gt;0,ROUNDUP(BM18/Assumptions!$H$113,0),0)</f>
        <v/>
      </c>
      <c r="BN21" s="28">
        <f>IF(BN18&gt;0,ROUNDUP(BN18/Assumptions!$H$113,0),0)</f>
        <v/>
      </c>
      <c r="BO21" s="28">
        <f>IF(BO18&gt;0,ROUNDUP(BO18/Assumptions!$H$113,0),0)</f>
        <v/>
      </c>
      <c r="BP21" s="28">
        <f>IF(BP18&gt;0,ROUNDUP(BP18/Assumptions!$H$113,0),0)</f>
        <v/>
      </c>
      <c r="BQ21" s="28">
        <f>IF(BQ18&gt;0,ROUNDUP(BQ18/Assumptions!$H$113,0),0)</f>
        <v/>
      </c>
      <c r="BR21" s="28">
        <f>IF(BR18&gt;0,ROUNDUP(BR18/Assumptions!$H$113,0),0)</f>
        <v/>
      </c>
      <c r="BS21" s="28">
        <f>IF(BS18&gt;0,ROUNDUP(BS18/Assumptions!$H$113,0),0)</f>
        <v/>
      </c>
      <c r="BT21" s="28">
        <f>IF(BT18&gt;0,ROUNDUP(BT18/Assumptions!$H$113,0),0)</f>
        <v/>
      </c>
      <c r="BU21" s="28">
        <f>IF(BU18&gt;0,ROUNDUP(BU18/Assumptions!$H$113,0),0)</f>
        <v/>
      </c>
      <c r="BV21" s="28">
        <f>IF(BV18&gt;0,ROUNDUP(BV18/Assumptions!$H$113,0),0)</f>
        <v/>
      </c>
      <c r="BW21" s="28">
        <f>IF(BW18&gt;0,ROUNDUP(BW18/Assumptions!$H$113,0),0)</f>
        <v/>
      </c>
      <c r="BX21" s="28">
        <f>IF(BX18&gt;0,ROUNDUP(BX18/Assumptions!$H$113,0),0)</f>
        <v/>
      </c>
      <c r="BY21" s="28">
        <f>IF(BY18&gt;0,ROUNDUP(BY18/Assumptions!$H$113,0),0)</f>
        <v/>
      </c>
      <c r="BZ21" s="28">
        <f>IF(BZ18&gt;0,ROUNDUP(BZ18/Assumptions!$H$113,0),0)</f>
        <v/>
      </c>
      <c r="CA21" s="28">
        <f>IF(CA18&gt;0,ROUNDUP(CA18/Assumptions!$H$113,0),0)</f>
        <v/>
      </c>
      <c r="CB21" s="28">
        <f>IF(CB18&gt;0,ROUNDUP(CB18/Assumptions!$H$113,0),0)</f>
        <v/>
      </c>
      <c r="CC21" s="28">
        <f>IF(CC18&gt;0,ROUNDUP(CC18/Assumptions!$H$113,0),0)</f>
        <v/>
      </c>
      <c r="CD21" s="28">
        <f>IF(CD18&gt;0,ROUNDUP(CD18/Assumptions!$H$113,0),0)</f>
        <v/>
      </c>
      <c r="CE21" s="28">
        <f>IF(CE18&gt;0,ROUNDUP(CE18/Assumptions!$H$113,0),0)</f>
        <v/>
      </c>
      <c r="CF21" s="28">
        <f>IF(CF18&gt;0,ROUNDUP(CF18/Assumptions!$H$113,0),0)</f>
        <v/>
      </c>
      <c r="CG21" s="28">
        <f>IF(CG18&gt;0,ROUNDUP(CG18/Assumptions!$H$113,0),0)</f>
        <v/>
      </c>
      <c r="CH21" s="28">
        <f>IF(CH18&gt;0,ROUNDUP(CH18/Assumptions!$H$113,0),0)</f>
        <v/>
      </c>
      <c r="CI21" s="28">
        <f>IF(CI18&gt;0,ROUNDUP(CI18/Assumptions!$H$113,0),0)</f>
        <v/>
      </c>
      <c r="CJ21" s="28">
        <f>IF(CJ18&gt;0,ROUNDUP(CJ18/Assumptions!$H$113,0),0)</f>
        <v/>
      </c>
      <c r="CK21" s="28">
        <f>IF(CK18&gt;0,ROUNDUP(CK18/Assumptions!$H$113,0),0)</f>
        <v/>
      </c>
      <c r="CL21" s="28">
        <f>IF(CL18&gt;0,ROUNDUP(CL18/Assumptions!$H$113,0),0)</f>
        <v/>
      </c>
      <c r="CM21" s="28">
        <f>IF(CM18&gt;0,ROUNDUP(CM18/Assumptions!$H$113,0),0)</f>
        <v/>
      </c>
      <c r="CN21" s="28">
        <f>IF(CN18&gt;0,ROUNDUP(CN18/Assumptions!$H$113,0),0)</f>
        <v/>
      </c>
      <c r="CO21" s="28">
        <f>IF(CO18&gt;0,ROUNDUP(CO18/Assumptions!$H$113,0),0)</f>
        <v/>
      </c>
      <c r="CP21" s="28">
        <f>IF(CP18&gt;0,ROUNDUP(CP18/Assumptions!$H$113,0),0)</f>
        <v/>
      </c>
      <c r="CQ21" s="28">
        <f>IF(CQ18&gt;0,ROUNDUP(CQ18/Assumptions!$H$113,0),0)</f>
        <v/>
      </c>
      <c r="CR21" s="28">
        <f>IF(CR18&gt;0,ROUNDUP(CR18/Assumptions!$H$113,0),0)</f>
        <v/>
      </c>
      <c r="CS21" s="28">
        <f>IF(CS18&gt;0,ROUNDUP(CS18/Assumptions!$H$113,0),0)</f>
        <v/>
      </c>
      <c r="CT21" s="28">
        <f>IF(CT18&gt;0,ROUNDUP(CT18/Assumptions!$H$113,0),0)</f>
        <v/>
      </c>
      <c r="CU21" s="28">
        <f>IF(CU18&gt;0,ROUNDUP(CU18/Assumptions!$H$113,0),0)</f>
        <v/>
      </c>
      <c r="CV21" s="28">
        <f>IF(CV18&gt;0,ROUNDUP(CV18/Assumptions!$H$113,0),0)</f>
        <v/>
      </c>
      <c r="CW21" s="28">
        <f>IF(CW18&gt;0,ROUNDUP(CW18/Assumptions!$H$113,0),0)</f>
        <v/>
      </c>
      <c r="CX21" s="28">
        <f>IF(CX18&gt;0,ROUNDUP(CX18/Assumptions!$H$113,0),0)</f>
        <v/>
      </c>
      <c r="CY21" s="28">
        <f>IF(CY18&gt;0,ROUNDUP(CY18/Assumptions!$H$113,0),0)</f>
        <v/>
      </c>
      <c r="CZ21" s="28">
        <f>IF(CZ18&gt;0,ROUNDUP(CZ18/Assumptions!$H$113,0),0)</f>
        <v/>
      </c>
      <c r="DA21" s="28">
        <f>IF(DA18&gt;0,ROUNDUP(DA18/Assumptions!$H$113,0),0)</f>
        <v/>
      </c>
      <c r="DB21" s="28">
        <f>IF(DB18&gt;0,ROUNDUP(DB18/Assumptions!$H$113,0),0)</f>
        <v/>
      </c>
      <c r="DC21" s="28">
        <f>IF(DC18&gt;0,ROUNDUP(DC18/Assumptions!$H$113,0),0)</f>
        <v/>
      </c>
      <c r="DD21" s="28">
        <f>IF(DD18&gt;0,ROUNDUP(DD18/Assumptions!$H$113,0),0)</f>
        <v/>
      </c>
      <c r="DE21" s="28">
        <f>IF(DE18&gt;0,ROUNDUP(DE18/Assumptions!$H$113,0),0)</f>
        <v/>
      </c>
      <c r="DF21" s="28">
        <f>IF(DF18&gt;0,ROUNDUP(DF18/Assumptions!$H$113,0),0)</f>
        <v/>
      </c>
      <c r="DG21" s="28">
        <f>IF(DG18&gt;0,ROUNDUP(DG18/Assumptions!$H$113,0),0)</f>
        <v/>
      </c>
      <c r="DH21" s="28">
        <f>IF(DH18&gt;0,ROUNDUP(DH18/Assumptions!$H$113,0),0)</f>
        <v/>
      </c>
      <c r="DI21" s="28">
        <f>IF(DI18&gt;0,ROUNDUP(DI18/Assumptions!$H$113,0),0)</f>
        <v/>
      </c>
      <c r="DJ21" s="28">
        <f>IF(DJ18&gt;0,ROUNDUP(DJ18/Assumptions!$H$113,0),0)</f>
        <v/>
      </c>
      <c r="DK21" s="28">
        <f>IF(DK18&gt;0,ROUNDUP(DK18/Assumptions!$H$113,0),0)</f>
        <v/>
      </c>
      <c r="DL21" s="28">
        <f>IF(DL18&gt;0,ROUNDUP(DL18/Assumptions!$H$113,0),0)</f>
        <v/>
      </c>
      <c r="DM21" s="28">
        <f>IF(DM18&gt;0,ROUNDUP(DM18/Assumptions!$H$113,0),0)</f>
        <v/>
      </c>
      <c r="DN21" s="28">
        <f>IF(DN18&gt;0,ROUNDUP(DN18/Assumptions!$H$113,0),0)</f>
        <v/>
      </c>
      <c r="DO21" s="28">
        <f>IF(DO18&gt;0,ROUNDUP(DO18/Assumptions!$H$113,0),0)</f>
        <v/>
      </c>
      <c r="DP21" s="28">
        <f>IF(DP18&gt;0,ROUNDUP(DP18/Assumptions!$H$113,0),0)</f>
        <v/>
      </c>
      <c r="DQ21" s="28">
        <f>IF(DQ18&gt;0,ROUNDUP(DQ18/Assumptions!$H$113,0),0)</f>
        <v/>
      </c>
      <c r="DR21" s="28">
        <f>IF(DR18&gt;0,ROUNDUP(DR18/Assumptions!$H$113,0),0)</f>
        <v/>
      </c>
      <c r="DS21" s="28">
        <f>IF(DS18&gt;0,ROUNDUP(DS18/Assumptions!$H$113,0),0)</f>
        <v/>
      </c>
    </row>
    <row r="22">
      <c r="A22" s="2" t="inlineStr">
        <is>
          <t>GT_MALES</t>
        </is>
      </c>
      <c r="B22" s="6" t="inlineStr">
        <is>
          <t>Breeding males</t>
        </is>
      </c>
      <c r="C22" s="2" t="inlineStr">
        <is>
          <t>head</t>
        </is>
      </c>
      <c r="D22" s="28">
        <f>MAX(0+D10,D21)</f>
        <v/>
      </c>
      <c r="E22" s="28">
        <f>MAX(D22+E10,E21)</f>
        <v/>
      </c>
      <c r="F22" s="28">
        <f>MAX(E22+F10,F21)</f>
        <v/>
      </c>
      <c r="G22" s="28">
        <f>MAX(F22+G10,G21)</f>
        <v/>
      </c>
      <c r="H22" s="28">
        <f>MAX(G22+H10,H21)</f>
        <v/>
      </c>
      <c r="I22" s="28">
        <f>MAX(H22+I10,I21)</f>
        <v/>
      </c>
      <c r="J22" s="28">
        <f>MAX(I22+J10,J21)</f>
        <v/>
      </c>
      <c r="K22" s="28">
        <f>MAX(J22+K10,K21)</f>
        <v/>
      </c>
      <c r="L22" s="28">
        <f>MAX(K22+L10,L21)</f>
        <v/>
      </c>
      <c r="M22" s="28">
        <f>MAX(L22+M10,M21)</f>
        <v/>
      </c>
      <c r="N22" s="28">
        <f>MAX(M22+N10,N21)</f>
        <v/>
      </c>
      <c r="O22" s="28">
        <f>MAX(N22+O10,O21)</f>
        <v/>
      </c>
      <c r="P22" s="28">
        <f>MAX(O22+P10,P21)</f>
        <v/>
      </c>
      <c r="Q22" s="28">
        <f>MAX(P22+Q10,Q21)</f>
        <v/>
      </c>
      <c r="R22" s="28">
        <f>MAX(Q22+R10,R21)</f>
        <v/>
      </c>
      <c r="S22" s="28">
        <f>MAX(R22+S10,S21)</f>
        <v/>
      </c>
      <c r="T22" s="28">
        <f>MAX(S22+T10,T21)</f>
        <v/>
      </c>
      <c r="U22" s="28">
        <f>MAX(T22+U10,U21)</f>
        <v/>
      </c>
      <c r="V22" s="28">
        <f>MAX(U22+V10,V21)</f>
        <v/>
      </c>
      <c r="W22" s="28">
        <f>MAX(V22+W10,W21)</f>
        <v/>
      </c>
      <c r="X22" s="28">
        <f>MAX(W22+X10,X21)</f>
        <v/>
      </c>
      <c r="Y22" s="28">
        <f>MAX(X22+Y10,Y21)</f>
        <v/>
      </c>
      <c r="Z22" s="28">
        <f>MAX(Y22+Z10,Z21)</f>
        <v/>
      </c>
      <c r="AA22" s="28">
        <f>MAX(Z22+AA10,AA21)</f>
        <v/>
      </c>
      <c r="AB22" s="28">
        <f>MAX(AA22+AB10,AB21)</f>
        <v/>
      </c>
      <c r="AC22" s="28">
        <f>MAX(AB22+AC10,AC21)</f>
        <v/>
      </c>
      <c r="AD22" s="28">
        <f>MAX(AC22+AD10,AD21)</f>
        <v/>
      </c>
      <c r="AE22" s="28">
        <f>MAX(AD22+AE10,AE21)</f>
        <v/>
      </c>
      <c r="AF22" s="28">
        <f>MAX(AE22+AF10,AF21)</f>
        <v/>
      </c>
      <c r="AG22" s="28">
        <f>MAX(AF22+AG10,AG21)</f>
        <v/>
      </c>
      <c r="AH22" s="28">
        <f>MAX(AG22+AH10,AH21)</f>
        <v/>
      </c>
      <c r="AI22" s="28">
        <f>MAX(AH22+AI10,AI21)</f>
        <v/>
      </c>
      <c r="AJ22" s="28">
        <f>MAX(AI22+AJ10,AJ21)</f>
        <v/>
      </c>
      <c r="AK22" s="28">
        <f>MAX(AJ22+AK10,AK21)</f>
        <v/>
      </c>
      <c r="AL22" s="28">
        <f>MAX(AK22+AL10,AL21)</f>
        <v/>
      </c>
      <c r="AM22" s="28">
        <f>MAX(AL22+AM10,AM21)</f>
        <v/>
      </c>
      <c r="AN22" s="28">
        <f>MAX(AM22+AN10,AN21)</f>
        <v/>
      </c>
      <c r="AO22" s="28">
        <f>MAX(AN22+AO10,AO21)</f>
        <v/>
      </c>
      <c r="AP22" s="28">
        <f>MAX(AO22+AP10,AP21)</f>
        <v/>
      </c>
      <c r="AQ22" s="28">
        <f>MAX(AP22+AQ10,AQ21)</f>
        <v/>
      </c>
      <c r="AR22" s="28">
        <f>MAX(AQ22+AR10,AR21)</f>
        <v/>
      </c>
      <c r="AS22" s="28">
        <f>MAX(AR22+AS10,AS21)</f>
        <v/>
      </c>
      <c r="AT22" s="28">
        <f>MAX(AS22+AT10,AT21)</f>
        <v/>
      </c>
      <c r="AU22" s="28">
        <f>MAX(AT22+AU10,AU21)</f>
        <v/>
      </c>
      <c r="AV22" s="28">
        <f>MAX(AU22+AV10,AV21)</f>
        <v/>
      </c>
      <c r="AW22" s="28">
        <f>MAX(AV22+AW10,AW21)</f>
        <v/>
      </c>
      <c r="AX22" s="28">
        <f>MAX(AW22+AX10,AX21)</f>
        <v/>
      </c>
      <c r="AY22" s="28">
        <f>MAX(AX22+AY10,AY21)</f>
        <v/>
      </c>
      <c r="AZ22" s="28">
        <f>MAX(AY22+AZ10,AZ21)</f>
        <v/>
      </c>
      <c r="BA22" s="28">
        <f>MAX(AZ22+BA10,BA21)</f>
        <v/>
      </c>
      <c r="BB22" s="28">
        <f>MAX(BA22+BB10,BB21)</f>
        <v/>
      </c>
      <c r="BC22" s="28">
        <f>MAX(BB22+BC10,BC21)</f>
        <v/>
      </c>
      <c r="BD22" s="28">
        <f>MAX(BC22+BD10,BD21)</f>
        <v/>
      </c>
      <c r="BE22" s="28">
        <f>MAX(BD22+BE10,BE21)</f>
        <v/>
      </c>
      <c r="BF22" s="28">
        <f>MAX(BE22+BF10,BF21)</f>
        <v/>
      </c>
      <c r="BG22" s="28">
        <f>MAX(BF22+BG10,BG21)</f>
        <v/>
      </c>
      <c r="BH22" s="28">
        <f>MAX(BG22+BH10,BH21)</f>
        <v/>
      </c>
      <c r="BI22" s="28">
        <f>MAX(BH22+BI10,BI21)</f>
        <v/>
      </c>
      <c r="BJ22" s="28">
        <f>MAX(BI22+BJ10,BJ21)</f>
        <v/>
      </c>
      <c r="BK22" s="28">
        <f>MAX(BJ22+BK10,BK21)</f>
        <v/>
      </c>
      <c r="BL22" s="28">
        <f>MAX(BK22+BL10,BL21)</f>
        <v/>
      </c>
      <c r="BM22" s="28">
        <f>MAX(BL22+BM10,BM21)</f>
        <v/>
      </c>
      <c r="BN22" s="28">
        <f>MAX(BM22+BN10,BN21)</f>
        <v/>
      </c>
      <c r="BO22" s="28">
        <f>MAX(BN22+BO10,BO21)</f>
        <v/>
      </c>
      <c r="BP22" s="28">
        <f>MAX(BO22+BP10,BP21)</f>
        <v/>
      </c>
      <c r="BQ22" s="28">
        <f>MAX(BP22+BQ10,BQ21)</f>
        <v/>
      </c>
      <c r="BR22" s="28">
        <f>MAX(BQ22+BR10,BR21)</f>
        <v/>
      </c>
      <c r="BS22" s="28">
        <f>MAX(BR22+BS10,BS21)</f>
        <v/>
      </c>
      <c r="BT22" s="28">
        <f>MAX(BS22+BT10,BT21)</f>
        <v/>
      </c>
      <c r="BU22" s="28">
        <f>MAX(BT22+BU10,BU21)</f>
        <v/>
      </c>
      <c r="BV22" s="28">
        <f>MAX(BU22+BV10,BV21)</f>
        <v/>
      </c>
      <c r="BW22" s="28">
        <f>MAX(BV22+BW10,BW21)</f>
        <v/>
      </c>
      <c r="BX22" s="28">
        <f>MAX(BW22+BX10,BX21)</f>
        <v/>
      </c>
      <c r="BY22" s="28">
        <f>MAX(BX22+BY10,BY21)</f>
        <v/>
      </c>
      <c r="BZ22" s="28">
        <f>MAX(BY22+BZ10,BZ21)</f>
        <v/>
      </c>
      <c r="CA22" s="28">
        <f>MAX(BZ22+CA10,CA21)</f>
        <v/>
      </c>
      <c r="CB22" s="28">
        <f>MAX(CA22+CB10,CB21)</f>
        <v/>
      </c>
      <c r="CC22" s="28">
        <f>MAX(CB22+CC10,CC21)</f>
        <v/>
      </c>
      <c r="CD22" s="28">
        <f>MAX(CC22+CD10,CD21)</f>
        <v/>
      </c>
      <c r="CE22" s="28">
        <f>MAX(CD22+CE10,CE21)</f>
        <v/>
      </c>
      <c r="CF22" s="28">
        <f>MAX(CE22+CF10,CF21)</f>
        <v/>
      </c>
      <c r="CG22" s="28">
        <f>MAX(CF22+CG10,CG21)</f>
        <v/>
      </c>
      <c r="CH22" s="28">
        <f>MAX(CG22+CH10,CH21)</f>
        <v/>
      </c>
      <c r="CI22" s="28">
        <f>MAX(CH22+CI10,CI21)</f>
        <v/>
      </c>
      <c r="CJ22" s="28">
        <f>MAX(CI22+CJ10,CJ21)</f>
        <v/>
      </c>
      <c r="CK22" s="28">
        <f>MAX(CJ22+CK10,CK21)</f>
        <v/>
      </c>
      <c r="CL22" s="28">
        <f>MAX(CK22+CL10,CL21)</f>
        <v/>
      </c>
      <c r="CM22" s="28">
        <f>MAX(CL22+CM10,CM21)</f>
        <v/>
      </c>
      <c r="CN22" s="28">
        <f>MAX(CM22+CN10,CN21)</f>
        <v/>
      </c>
      <c r="CO22" s="28">
        <f>MAX(CN22+CO10,CO21)</f>
        <v/>
      </c>
      <c r="CP22" s="28">
        <f>MAX(CO22+CP10,CP21)</f>
        <v/>
      </c>
      <c r="CQ22" s="28">
        <f>MAX(CP22+CQ10,CQ21)</f>
        <v/>
      </c>
      <c r="CR22" s="28">
        <f>MAX(CQ22+CR10,CR21)</f>
        <v/>
      </c>
      <c r="CS22" s="28">
        <f>MAX(CR22+CS10,CS21)</f>
        <v/>
      </c>
      <c r="CT22" s="28">
        <f>MAX(CS22+CT10,CT21)</f>
        <v/>
      </c>
      <c r="CU22" s="28">
        <f>MAX(CT22+CU10,CU21)</f>
        <v/>
      </c>
      <c r="CV22" s="28">
        <f>MAX(CU22+CV10,CV21)</f>
        <v/>
      </c>
      <c r="CW22" s="28">
        <f>MAX(CV22+CW10,CW21)</f>
        <v/>
      </c>
      <c r="CX22" s="28">
        <f>MAX(CW22+CX10,CX21)</f>
        <v/>
      </c>
      <c r="CY22" s="28">
        <f>MAX(CX22+CY10,CY21)</f>
        <v/>
      </c>
      <c r="CZ22" s="28">
        <f>MAX(CY22+CZ10,CZ21)</f>
        <v/>
      </c>
      <c r="DA22" s="28">
        <f>MAX(CZ22+DA10,DA21)</f>
        <v/>
      </c>
      <c r="DB22" s="28">
        <f>MAX(DA22+DB10,DB21)</f>
        <v/>
      </c>
      <c r="DC22" s="28">
        <f>MAX(DB22+DC10,DC21)</f>
        <v/>
      </c>
      <c r="DD22" s="28">
        <f>MAX(DC22+DD10,DD21)</f>
        <v/>
      </c>
      <c r="DE22" s="28">
        <f>MAX(DD22+DE10,DE21)</f>
        <v/>
      </c>
      <c r="DF22" s="28">
        <f>MAX(DE22+DF10,DF21)</f>
        <v/>
      </c>
      <c r="DG22" s="28">
        <f>MAX(DF22+DG10,DG21)</f>
        <v/>
      </c>
      <c r="DH22" s="28">
        <f>MAX(DG22+DH10,DH21)</f>
        <v/>
      </c>
      <c r="DI22" s="28">
        <f>MAX(DH22+DI10,DI21)</f>
        <v/>
      </c>
      <c r="DJ22" s="28">
        <f>MAX(DI22+DJ10,DJ21)</f>
        <v/>
      </c>
      <c r="DK22" s="28">
        <f>MAX(DJ22+DK10,DK21)</f>
        <v/>
      </c>
      <c r="DL22" s="28">
        <f>MAX(DK22+DL10,DL21)</f>
        <v/>
      </c>
      <c r="DM22" s="28">
        <f>MAX(DL22+DM10,DM21)</f>
        <v/>
      </c>
      <c r="DN22" s="28">
        <f>MAX(DM22+DN10,DN21)</f>
        <v/>
      </c>
      <c r="DO22" s="28">
        <f>MAX(DN22+DO10,DO21)</f>
        <v/>
      </c>
      <c r="DP22" s="28">
        <f>MAX(DO22+DP10,DP21)</f>
        <v/>
      </c>
      <c r="DQ22" s="28">
        <f>MAX(DP22+DQ10,DQ21)</f>
        <v/>
      </c>
      <c r="DR22" s="28">
        <f>MAX(DQ22+DR10,DR21)</f>
        <v/>
      </c>
      <c r="DS22" s="28">
        <f>MAX(DR22+DS10,DS21)</f>
        <v/>
      </c>
    </row>
    <row r="23">
      <c r="A23" s="2" t="inlineStr">
        <is>
          <t>GT_MBUY</t>
        </is>
      </c>
      <c r="B23" s="6" t="inlineStr">
        <is>
          <t>Breeding males bought (all)</t>
        </is>
      </c>
      <c r="C23" s="2" t="inlineStr">
        <is>
          <t>head</t>
        </is>
      </c>
      <c r="D23" s="28">
        <f>D22-0</f>
        <v/>
      </c>
      <c r="E23" s="28">
        <f>E22-D22</f>
        <v/>
      </c>
      <c r="F23" s="28">
        <f>F22-E22</f>
        <v/>
      </c>
      <c r="G23" s="28">
        <f>G22-F22</f>
        <v/>
      </c>
      <c r="H23" s="28">
        <f>H22-G22</f>
        <v/>
      </c>
      <c r="I23" s="28">
        <f>I22-H22</f>
        <v/>
      </c>
      <c r="J23" s="28">
        <f>J22-I22</f>
        <v/>
      </c>
      <c r="K23" s="28">
        <f>K22-J22</f>
        <v/>
      </c>
      <c r="L23" s="28">
        <f>L22-K22</f>
        <v/>
      </c>
      <c r="M23" s="28">
        <f>M22-L22</f>
        <v/>
      </c>
      <c r="N23" s="28">
        <f>N22-M22</f>
        <v/>
      </c>
      <c r="O23" s="28">
        <f>O22-N22</f>
        <v/>
      </c>
      <c r="P23" s="28">
        <f>P22-O22</f>
        <v/>
      </c>
      <c r="Q23" s="28">
        <f>Q22-P22</f>
        <v/>
      </c>
      <c r="R23" s="28">
        <f>R22-Q22</f>
        <v/>
      </c>
      <c r="S23" s="28">
        <f>S22-R22</f>
        <v/>
      </c>
      <c r="T23" s="28">
        <f>T22-S22</f>
        <v/>
      </c>
      <c r="U23" s="28">
        <f>U22-T22</f>
        <v/>
      </c>
      <c r="V23" s="28">
        <f>V22-U22</f>
        <v/>
      </c>
      <c r="W23" s="28">
        <f>W22-V22</f>
        <v/>
      </c>
      <c r="X23" s="28">
        <f>X22-W22</f>
        <v/>
      </c>
      <c r="Y23" s="28">
        <f>Y22-X22</f>
        <v/>
      </c>
      <c r="Z23" s="28">
        <f>Z22-Y22</f>
        <v/>
      </c>
      <c r="AA23" s="28">
        <f>AA22-Z22</f>
        <v/>
      </c>
      <c r="AB23" s="28">
        <f>AB22-AA22</f>
        <v/>
      </c>
      <c r="AC23" s="28">
        <f>AC22-AB22</f>
        <v/>
      </c>
      <c r="AD23" s="28">
        <f>AD22-AC22</f>
        <v/>
      </c>
      <c r="AE23" s="28">
        <f>AE22-AD22</f>
        <v/>
      </c>
      <c r="AF23" s="28">
        <f>AF22-AE22</f>
        <v/>
      </c>
      <c r="AG23" s="28">
        <f>AG22-AF22</f>
        <v/>
      </c>
      <c r="AH23" s="28">
        <f>AH22-AG22</f>
        <v/>
      </c>
      <c r="AI23" s="28">
        <f>AI22-AH22</f>
        <v/>
      </c>
      <c r="AJ23" s="28">
        <f>AJ22-AI22</f>
        <v/>
      </c>
      <c r="AK23" s="28">
        <f>AK22-AJ22</f>
        <v/>
      </c>
      <c r="AL23" s="28">
        <f>AL22-AK22</f>
        <v/>
      </c>
      <c r="AM23" s="28">
        <f>AM22-AL22</f>
        <v/>
      </c>
      <c r="AN23" s="28">
        <f>AN22-AM22</f>
        <v/>
      </c>
      <c r="AO23" s="28">
        <f>AO22-AN22</f>
        <v/>
      </c>
      <c r="AP23" s="28">
        <f>AP22-AO22</f>
        <v/>
      </c>
      <c r="AQ23" s="28">
        <f>AQ22-AP22</f>
        <v/>
      </c>
      <c r="AR23" s="28">
        <f>AR22-AQ22</f>
        <v/>
      </c>
      <c r="AS23" s="28">
        <f>AS22-AR22</f>
        <v/>
      </c>
      <c r="AT23" s="28">
        <f>AT22-AS22</f>
        <v/>
      </c>
      <c r="AU23" s="28">
        <f>AU22-AT22</f>
        <v/>
      </c>
      <c r="AV23" s="28">
        <f>AV22-AU22</f>
        <v/>
      </c>
      <c r="AW23" s="28">
        <f>AW22-AV22</f>
        <v/>
      </c>
      <c r="AX23" s="28">
        <f>AX22-AW22</f>
        <v/>
      </c>
      <c r="AY23" s="28">
        <f>AY22-AX22</f>
        <v/>
      </c>
      <c r="AZ23" s="28">
        <f>AZ22-AY22</f>
        <v/>
      </c>
      <c r="BA23" s="28">
        <f>BA22-AZ22</f>
        <v/>
      </c>
      <c r="BB23" s="28">
        <f>BB22-BA22</f>
        <v/>
      </c>
      <c r="BC23" s="28">
        <f>BC22-BB22</f>
        <v/>
      </c>
      <c r="BD23" s="28">
        <f>BD22-BC22</f>
        <v/>
      </c>
      <c r="BE23" s="28">
        <f>BE22-BD22</f>
        <v/>
      </c>
      <c r="BF23" s="28">
        <f>BF22-BE22</f>
        <v/>
      </c>
      <c r="BG23" s="28">
        <f>BG22-BF22</f>
        <v/>
      </c>
      <c r="BH23" s="28">
        <f>BH22-BG22</f>
        <v/>
      </c>
      <c r="BI23" s="28">
        <f>BI22-BH22</f>
        <v/>
      </c>
      <c r="BJ23" s="28">
        <f>BJ22-BI22</f>
        <v/>
      </c>
      <c r="BK23" s="28">
        <f>BK22-BJ22</f>
        <v/>
      </c>
      <c r="BL23" s="28">
        <f>BL22-BK22</f>
        <v/>
      </c>
      <c r="BM23" s="28">
        <f>BM22-BL22</f>
        <v/>
      </c>
      <c r="BN23" s="28">
        <f>BN22-BM22</f>
        <v/>
      </c>
      <c r="BO23" s="28">
        <f>BO22-BN22</f>
        <v/>
      </c>
      <c r="BP23" s="28">
        <f>BP22-BO22</f>
        <v/>
      </c>
      <c r="BQ23" s="28">
        <f>BQ22-BP22</f>
        <v/>
      </c>
      <c r="BR23" s="28">
        <f>BR22-BQ22</f>
        <v/>
      </c>
      <c r="BS23" s="28">
        <f>BS22-BR22</f>
        <v/>
      </c>
      <c r="BT23" s="28">
        <f>BT22-BS22</f>
        <v/>
      </c>
      <c r="BU23" s="28">
        <f>BU22-BT22</f>
        <v/>
      </c>
      <c r="BV23" s="28">
        <f>BV22-BU22</f>
        <v/>
      </c>
      <c r="BW23" s="28">
        <f>BW22-BV22</f>
        <v/>
      </c>
      <c r="BX23" s="28">
        <f>BX22-BW22</f>
        <v/>
      </c>
      <c r="BY23" s="28">
        <f>BY22-BX22</f>
        <v/>
      </c>
      <c r="BZ23" s="28">
        <f>BZ22-BY22</f>
        <v/>
      </c>
      <c r="CA23" s="28">
        <f>CA22-BZ22</f>
        <v/>
      </c>
      <c r="CB23" s="28">
        <f>CB22-CA22</f>
        <v/>
      </c>
      <c r="CC23" s="28">
        <f>CC22-CB22</f>
        <v/>
      </c>
      <c r="CD23" s="28">
        <f>CD22-CC22</f>
        <v/>
      </c>
      <c r="CE23" s="28">
        <f>CE22-CD22</f>
        <v/>
      </c>
      <c r="CF23" s="28">
        <f>CF22-CE22</f>
        <v/>
      </c>
      <c r="CG23" s="28">
        <f>CG22-CF22</f>
        <v/>
      </c>
      <c r="CH23" s="28">
        <f>CH22-CG22</f>
        <v/>
      </c>
      <c r="CI23" s="28">
        <f>CI22-CH22</f>
        <v/>
      </c>
      <c r="CJ23" s="28">
        <f>CJ22-CI22</f>
        <v/>
      </c>
      <c r="CK23" s="28">
        <f>CK22-CJ22</f>
        <v/>
      </c>
      <c r="CL23" s="28">
        <f>CL22-CK22</f>
        <v/>
      </c>
      <c r="CM23" s="28">
        <f>CM22-CL22</f>
        <v/>
      </c>
      <c r="CN23" s="28">
        <f>CN22-CM22</f>
        <v/>
      </c>
      <c r="CO23" s="28">
        <f>CO22-CN22</f>
        <v/>
      </c>
      <c r="CP23" s="28">
        <f>CP22-CO22</f>
        <v/>
      </c>
      <c r="CQ23" s="28">
        <f>CQ22-CP22</f>
        <v/>
      </c>
      <c r="CR23" s="28">
        <f>CR22-CQ22</f>
        <v/>
      </c>
      <c r="CS23" s="28">
        <f>CS22-CR22</f>
        <v/>
      </c>
      <c r="CT23" s="28">
        <f>CT22-CS22</f>
        <v/>
      </c>
      <c r="CU23" s="28">
        <f>CU22-CT22</f>
        <v/>
      </c>
      <c r="CV23" s="28">
        <f>CV22-CU22</f>
        <v/>
      </c>
      <c r="CW23" s="28">
        <f>CW22-CV22</f>
        <v/>
      </c>
      <c r="CX23" s="28">
        <f>CX22-CW22</f>
        <v/>
      </c>
      <c r="CY23" s="28">
        <f>CY22-CX22</f>
        <v/>
      </c>
      <c r="CZ23" s="28">
        <f>CZ22-CY22</f>
        <v/>
      </c>
      <c r="DA23" s="28">
        <f>DA22-CZ22</f>
        <v/>
      </c>
      <c r="DB23" s="28">
        <f>DB22-DA22</f>
        <v/>
      </c>
      <c r="DC23" s="28">
        <f>DC22-DB22</f>
        <v/>
      </c>
      <c r="DD23" s="28">
        <f>DD22-DC22</f>
        <v/>
      </c>
      <c r="DE23" s="28">
        <f>DE22-DD22</f>
        <v/>
      </c>
      <c r="DF23" s="28">
        <f>DF22-DE22</f>
        <v/>
      </c>
      <c r="DG23" s="28">
        <f>DG22-DF22</f>
        <v/>
      </c>
      <c r="DH23" s="28">
        <f>DH22-DG22</f>
        <v/>
      </c>
      <c r="DI23" s="28">
        <f>DI22-DH22</f>
        <v/>
      </c>
      <c r="DJ23" s="28">
        <f>DJ22-DI22</f>
        <v/>
      </c>
      <c r="DK23" s="28">
        <f>DK22-DJ22</f>
        <v/>
      </c>
      <c r="DL23" s="28">
        <f>DL22-DK22</f>
        <v/>
      </c>
      <c r="DM23" s="28">
        <f>DM22-DL22</f>
        <v/>
      </c>
      <c r="DN23" s="28">
        <f>DN22-DM22</f>
        <v/>
      </c>
      <c r="DO23" s="28">
        <f>DO22-DN22</f>
        <v/>
      </c>
      <c r="DP23" s="28">
        <f>DP22-DO22</f>
        <v/>
      </c>
      <c r="DQ23" s="28">
        <f>DQ22-DP22</f>
        <v/>
      </c>
      <c r="DR23" s="28">
        <f>DR22-DQ22</f>
        <v/>
      </c>
      <c r="DS23" s="28">
        <f>DS22-DR22</f>
        <v/>
      </c>
    </row>
    <row r="24">
      <c r="A24" s="2" t="inlineStr">
        <is>
          <t>GT_HEAD</t>
        </is>
      </c>
      <c r="B24" s="3" t="inlineStr">
        <is>
          <t>All animals</t>
        </is>
      </c>
      <c r="C24" s="2" t="inlineStr">
        <is>
          <t>head</t>
        </is>
      </c>
      <c r="D24" s="35">
        <f>D18+D22+D20</f>
        <v/>
      </c>
      <c r="E24" s="35">
        <f>E18+E22+E20</f>
        <v/>
      </c>
      <c r="F24" s="35">
        <f>F18+F22+F20</f>
        <v/>
      </c>
      <c r="G24" s="35">
        <f>G18+G22+G20</f>
        <v/>
      </c>
      <c r="H24" s="35">
        <f>H18+H22+H20</f>
        <v/>
      </c>
      <c r="I24" s="35">
        <f>I18+I22+I20</f>
        <v/>
      </c>
      <c r="J24" s="35">
        <f>J18+J22+J20</f>
        <v/>
      </c>
      <c r="K24" s="35">
        <f>K18+K22+K20</f>
        <v/>
      </c>
      <c r="L24" s="35">
        <f>L18+L22+L20</f>
        <v/>
      </c>
      <c r="M24" s="35">
        <f>M18+M22+M20</f>
        <v/>
      </c>
      <c r="N24" s="35">
        <f>N18+N22+N20</f>
        <v/>
      </c>
      <c r="O24" s="35">
        <f>O18+O22+O20</f>
        <v/>
      </c>
      <c r="P24" s="35">
        <f>P18+P22+P20</f>
        <v/>
      </c>
      <c r="Q24" s="35">
        <f>Q18+Q22+Q20</f>
        <v/>
      </c>
      <c r="R24" s="35">
        <f>R18+R22+R20</f>
        <v/>
      </c>
      <c r="S24" s="35">
        <f>S18+S22+S20</f>
        <v/>
      </c>
      <c r="T24" s="35">
        <f>T18+T22+T20</f>
        <v/>
      </c>
      <c r="U24" s="35">
        <f>U18+U22+U20</f>
        <v/>
      </c>
      <c r="V24" s="35">
        <f>V18+V22+V20</f>
        <v/>
      </c>
      <c r="W24" s="35">
        <f>W18+W22+W20</f>
        <v/>
      </c>
      <c r="X24" s="35">
        <f>X18+X22+X20</f>
        <v/>
      </c>
      <c r="Y24" s="35">
        <f>Y18+Y22+Y20</f>
        <v/>
      </c>
      <c r="Z24" s="35">
        <f>Z18+Z22+Z20</f>
        <v/>
      </c>
      <c r="AA24" s="35">
        <f>AA18+AA22+AA20</f>
        <v/>
      </c>
      <c r="AB24" s="35">
        <f>AB18+AB22+AB20</f>
        <v/>
      </c>
      <c r="AC24" s="35">
        <f>AC18+AC22+AC20</f>
        <v/>
      </c>
      <c r="AD24" s="35">
        <f>AD18+AD22+AD20</f>
        <v/>
      </c>
      <c r="AE24" s="35">
        <f>AE18+AE22+AE20</f>
        <v/>
      </c>
      <c r="AF24" s="35">
        <f>AF18+AF22+AF20</f>
        <v/>
      </c>
      <c r="AG24" s="35">
        <f>AG18+AG22+AG20</f>
        <v/>
      </c>
      <c r="AH24" s="35">
        <f>AH18+AH22+AH20</f>
        <v/>
      </c>
      <c r="AI24" s="35">
        <f>AI18+AI22+AI20</f>
        <v/>
      </c>
      <c r="AJ24" s="35">
        <f>AJ18+AJ22+AJ20</f>
        <v/>
      </c>
      <c r="AK24" s="35">
        <f>AK18+AK22+AK20</f>
        <v/>
      </c>
      <c r="AL24" s="35">
        <f>AL18+AL22+AL20</f>
        <v/>
      </c>
      <c r="AM24" s="35">
        <f>AM18+AM22+AM20</f>
        <v/>
      </c>
      <c r="AN24" s="35">
        <f>AN18+AN22+AN20</f>
        <v/>
      </c>
      <c r="AO24" s="35">
        <f>AO18+AO22+AO20</f>
        <v/>
      </c>
      <c r="AP24" s="35">
        <f>AP18+AP22+AP20</f>
        <v/>
      </c>
      <c r="AQ24" s="35">
        <f>AQ18+AQ22+AQ20</f>
        <v/>
      </c>
      <c r="AR24" s="35">
        <f>AR18+AR22+AR20</f>
        <v/>
      </c>
      <c r="AS24" s="35">
        <f>AS18+AS22+AS20</f>
        <v/>
      </c>
      <c r="AT24" s="35">
        <f>AT18+AT22+AT20</f>
        <v/>
      </c>
      <c r="AU24" s="35">
        <f>AU18+AU22+AU20</f>
        <v/>
      </c>
      <c r="AV24" s="35">
        <f>AV18+AV22+AV20</f>
        <v/>
      </c>
      <c r="AW24" s="35">
        <f>AW18+AW22+AW20</f>
        <v/>
      </c>
      <c r="AX24" s="35">
        <f>AX18+AX22+AX20</f>
        <v/>
      </c>
      <c r="AY24" s="35">
        <f>AY18+AY22+AY20</f>
        <v/>
      </c>
      <c r="AZ24" s="35">
        <f>AZ18+AZ22+AZ20</f>
        <v/>
      </c>
      <c r="BA24" s="35">
        <f>BA18+BA22+BA20</f>
        <v/>
      </c>
      <c r="BB24" s="35">
        <f>BB18+BB22+BB20</f>
        <v/>
      </c>
      <c r="BC24" s="35">
        <f>BC18+BC22+BC20</f>
        <v/>
      </c>
      <c r="BD24" s="35">
        <f>BD18+BD22+BD20</f>
        <v/>
      </c>
      <c r="BE24" s="35">
        <f>BE18+BE22+BE20</f>
        <v/>
      </c>
      <c r="BF24" s="35">
        <f>BF18+BF22+BF20</f>
        <v/>
      </c>
      <c r="BG24" s="35">
        <f>BG18+BG22+BG20</f>
        <v/>
      </c>
      <c r="BH24" s="35">
        <f>BH18+BH22+BH20</f>
        <v/>
      </c>
      <c r="BI24" s="35">
        <f>BI18+BI22+BI20</f>
        <v/>
      </c>
      <c r="BJ24" s="35">
        <f>BJ18+BJ22+BJ20</f>
        <v/>
      </c>
      <c r="BK24" s="35">
        <f>BK18+BK22+BK20</f>
        <v/>
      </c>
      <c r="BL24" s="35">
        <f>BL18+BL22+BL20</f>
        <v/>
      </c>
      <c r="BM24" s="35">
        <f>BM18+BM22+BM20</f>
        <v/>
      </c>
      <c r="BN24" s="35">
        <f>BN18+BN22+BN20</f>
        <v/>
      </c>
      <c r="BO24" s="35">
        <f>BO18+BO22+BO20</f>
        <v/>
      </c>
      <c r="BP24" s="35">
        <f>BP18+BP22+BP20</f>
        <v/>
      </c>
      <c r="BQ24" s="35">
        <f>BQ18+BQ22+BQ20</f>
        <v/>
      </c>
      <c r="BR24" s="35">
        <f>BR18+BR22+BR20</f>
        <v/>
      </c>
      <c r="BS24" s="35">
        <f>BS18+BS22+BS20</f>
        <v/>
      </c>
      <c r="BT24" s="35">
        <f>BT18+BT22+BT20</f>
        <v/>
      </c>
      <c r="BU24" s="35">
        <f>BU18+BU22+BU20</f>
        <v/>
      </c>
      <c r="BV24" s="35">
        <f>BV18+BV22+BV20</f>
        <v/>
      </c>
      <c r="BW24" s="35">
        <f>BW18+BW22+BW20</f>
        <v/>
      </c>
      <c r="BX24" s="35">
        <f>BX18+BX22+BX20</f>
        <v/>
      </c>
      <c r="BY24" s="35">
        <f>BY18+BY22+BY20</f>
        <v/>
      </c>
      <c r="BZ24" s="35">
        <f>BZ18+BZ22+BZ20</f>
        <v/>
      </c>
      <c r="CA24" s="35">
        <f>CA18+CA22+CA20</f>
        <v/>
      </c>
      <c r="CB24" s="35">
        <f>CB18+CB22+CB20</f>
        <v/>
      </c>
      <c r="CC24" s="35">
        <f>CC18+CC22+CC20</f>
        <v/>
      </c>
      <c r="CD24" s="35">
        <f>CD18+CD22+CD20</f>
        <v/>
      </c>
      <c r="CE24" s="35">
        <f>CE18+CE22+CE20</f>
        <v/>
      </c>
      <c r="CF24" s="35">
        <f>CF18+CF22+CF20</f>
        <v/>
      </c>
      <c r="CG24" s="35">
        <f>CG18+CG22+CG20</f>
        <v/>
      </c>
      <c r="CH24" s="35">
        <f>CH18+CH22+CH20</f>
        <v/>
      </c>
      <c r="CI24" s="35">
        <f>CI18+CI22+CI20</f>
        <v/>
      </c>
      <c r="CJ24" s="35">
        <f>CJ18+CJ22+CJ20</f>
        <v/>
      </c>
      <c r="CK24" s="35">
        <f>CK18+CK22+CK20</f>
        <v/>
      </c>
      <c r="CL24" s="35">
        <f>CL18+CL22+CL20</f>
        <v/>
      </c>
      <c r="CM24" s="35">
        <f>CM18+CM22+CM20</f>
        <v/>
      </c>
      <c r="CN24" s="35">
        <f>CN18+CN22+CN20</f>
        <v/>
      </c>
      <c r="CO24" s="35">
        <f>CO18+CO22+CO20</f>
        <v/>
      </c>
      <c r="CP24" s="35">
        <f>CP18+CP22+CP20</f>
        <v/>
      </c>
      <c r="CQ24" s="35">
        <f>CQ18+CQ22+CQ20</f>
        <v/>
      </c>
      <c r="CR24" s="35">
        <f>CR18+CR22+CR20</f>
        <v/>
      </c>
      <c r="CS24" s="35">
        <f>CS18+CS22+CS20</f>
        <v/>
      </c>
      <c r="CT24" s="35">
        <f>CT18+CT22+CT20</f>
        <v/>
      </c>
      <c r="CU24" s="35">
        <f>CU18+CU22+CU20</f>
        <v/>
      </c>
      <c r="CV24" s="35">
        <f>CV18+CV22+CV20</f>
        <v/>
      </c>
      <c r="CW24" s="35">
        <f>CW18+CW22+CW20</f>
        <v/>
      </c>
      <c r="CX24" s="35">
        <f>CX18+CX22+CX20</f>
        <v/>
      </c>
      <c r="CY24" s="35">
        <f>CY18+CY22+CY20</f>
        <v/>
      </c>
      <c r="CZ24" s="35">
        <f>CZ18+CZ22+CZ20</f>
        <v/>
      </c>
      <c r="DA24" s="35">
        <f>DA18+DA22+DA20</f>
        <v/>
      </c>
      <c r="DB24" s="35">
        <f>DB18+DB22+DB20</f>
        <v/>
      </c>
      <c r="DC24" s="35">
        <f>DC18+DC22+DC20</f>
        <v/>
      </c>
      <c r="DD24" s="35">
        <f>DD18+DD22+DD20</f>
        <v/>
      </c>
      <c r="DE24" s="35">
        <f>DE18+DE22+DE20</f>
        <v/>
      </c>
      <c r="DF24" s="35">
        <f>DF18+DF22+DF20</f>
        <v/>
      </c>
      <c r="DG24" s="35">
        <f>DG18+DG22+DG20</f>
        <v/>
      </c>
      <c r="DH24" s="35">
        <f>DH18+DH22+DH20</f>
        <v/>
      </c>
      <c r="DI24" s="35">
        <f>DI18+DI22+DI20</f>
        <v/>
      </c>
      <c r="DJ24" s="35">
        <f>DJ18+DJ22+DJ20</f>
        <v/>
      </c>
      <c r="DK24" s="35">
        <f>DK18+DK22+DK20</f>
        <v/>
      </c>
      <c r="DL24" s="35">
        <f>DL18+DL22+DL20</f>
        <v/>
      </c>
      <c r="DM24" s="35">
        <f>DM18+DM22+DM20</f>
        <v/>
      </c>
      <c r="DN24" s="35">
        <f>DN18+DN22+DN20</f>
        <v/>
      </c>
      <c r="DO24" s="35">
        <f>DO18+DO22+DO20</f>
        <v/>
      </c>
      <c r="DP24" s="35">
        <f>DP18+DP22+DP20</f>
        <v/>
      </c>
      <c r="DQ24" s="35">
        <f>DQ18+DQ22+DQ20</f>
        <v/>
      </c>
      <c r="DR24" s="35">
        <f>DR18+DR22+DR20</f>
        <v/>
      </c>
      <c r="DS24" s="35">
        <f>DS18+DS22+DS20</f>
        <v/>
      </c>
    </row>
    <row r="25">
      <c r="A25" s="2" t="inlineStr">
        <is>
          <t>GT_SOLDHD</t>
        </is>
      </c>
      <c r="B25" s="6" t="inlineStr">
        <is>
          <t>Animals sold</t>
        </is>
      </c>
      <c r="C25" s="2" t="inlineStr">
        <is>
          <t>head</t>
        </is>
      </c>
      <c r="D25" s="22">
        <f>D19+D13</f>
        <v/>
      </c>
      <c r="E25" s="22">
        <f>E19+E13</f>
        <v/>
      </c>
      <c r="F25" s="22">
        <f>F19+F13</f>
        <v/>
      </c>
      <c r="G25" s="22">
        <f>G19+G13</f>
        <v/>
      </c>
      <c r="H25" s="22">
        <f>H19+H13</f>
        <v/>
      </c>
      <c r="I25" s="22">
        <f>I19+I13</f>
        <v/>
      </c>
      <c r="J25" s="22">
        <f>J19+J13</f>
        <v/>
      </c>
      <c r="K25" s="22">
        <f>K19+K13</f>
        <v/>
      </c>
      <c r="L25" s="22">
        <f>L19+L13</f>
        <v/>
      </c>
      <c r="M25" s="22">
        <f>M19+M13</f>
        <v/>
      </c>
      <c r="N25" s="22">
        <f>N19+N13</f>
        <v/>
      </c>
      <c r="O25" s="22">
        <f>O19+O13</f>
        <v/>
      </c>
      <c r="P25" s="22">
        <f>P19+P13</f>
        <v/>
      </c>
      <c r="Q25" s="22">
        <f>Q19+Q13</f>
        <v/>
      </c>
      <c r="R25" s="22">
        <f>R19+R13</f>
        <v/>
      </c>
      <c r="S25" s="22">
        <f>S19+S13</f>
        <v/>
      </c>
      <c r="T25" s="22">
        <f>T19+T13</f>
        <v/>
      </c>
      <c r="U25" s="22">
        <f>U19+U13</f>
        <v/>
      </c>
      <c r="V25" s="22">
        <f>V19+V13</f>
        <v/>
      </c>
      <c r="W25" s="22">
        <f>W19+W13</f>
        <v/>
      </c>
      <c r="X25" s="22">
        <f>X19+X13</f>
        <v/>
      </c>
      <c r="Y25" s="22">
        <f>Y19+Y13</f>
        <v/>
      </c>
      <c r="Z25" s="22">
        <f>Z19+Z13</f>
        <v/>
      </c>
      <c r="AA25" s="22">
        <f>AA19+AA13</f>
        <v/>
      </c>
      <c r="AB25" s="22">
        <f>AB19+AB13</f>
        <v/>
      </c>
      <c r="AC25" s="22">
        <f>AC19+AC13</f>
        <v/>
      </c>
      <c r="AD25" s="22">
        <f>AD19+AD13</f>
        <v/>
      </c>
      <c r="AE25" s="22">
        <f>AE19+AE13</f>
        <v/>
      </c>
      <c r="AF25" s="22">
        <f>AF19+AF13</f>
        <v/>
      </c>
      <c r="AG25" s="22">
        <f>AG19+AG13</f>
        <v/>
      </c>
      <c r="AH25" s="22">
        <f>AH19+AH13</f>
        <v/>
      </c>
      <c r="AI25" s="22">
        <f>AI19+AI13</f>
        <v/>
      </c>
      <c r="AJ25" s="22">
        <f>AJ19+AJ13</f>
        <v/>
      </c>
      <c r="AK25" s="22">
        <f>AK19+AK13</f>
        <v/>
      </c>
      <c r="AL25" s="22">
        <f>AL19+AL13</f>
        <v/>
      </c>
      <c r="AM25" s="22">
        <f>AM19+AM13</f>
        <v/>
      </c>
      <c r="AN25" s="22">
        <f>AN19+AN13</f>
        <v/>
      </c>
      <c r="AO25" s="22">
        <f>AO19+AO13</f>
        <v/>
      </c>
      <c r="AP25" s="22">
        <f>AP19+AP13</f>
        <v/>
      </c>
      <c r="AQ25" s="22">
        <f>AQ19+AQ13</f>
        <v/>
      </c>
      <c r="AR25" s="22">
        <f>AR19+AR13</f>
        <v/>
      </c>
      <c r="AS25" s="22">
        <f>AS19+AS13</f>
        <v/>
      </c>
      <c r="AT25" s="22">
        <f>AT19+AT13</f>
        <v/>
      </c>
      <c r="AU25" s="22">
        <f>AU19+AU13</f>
        <v/>
      </c>
      <c r="AV25" s="22">
        <f>AV19+AV13</f>
        <v/>
      </c>
      <c r="AW25" s="22">
        <f>AW19+AW13</f>
        <v/>
      </c>
      <c r="AX25" s="22">
        <f>AX19+AX13</f>
        <v/>
      </c>
      <c r="AY25" s="22">
        <f>AY19+AY13</f>
        <v/>
      </c>
      <c r="AZ25" s="22">
        <f>AZ19+AZ13</f>
        <v/>
      </c>
      <c r="BA25" s="22">
        <f>BA19+BA13</f>
        <v/>
      </c>
      <c r="BB25" s="22">
        <f>BB19+BB13</f>
        <v/>
      </c>
      <c r="BC25" s="22">
        <f>BC19+BC13</f>
        <v/>
      </c>
      <c r="BD25" s="22">
        <f>BD19+BD13</f>
        <v/>
      </c>
      <c r="BE25" s="22">
        <f>BE19+BE13</f>
        <v/>
      </c>
      <c r="BF25" s="22">
        <f>BF19+BF13</f>
        <v/>
      </c>
      <c r="BG25" s="22">
        <f>BG19+BG13</f>
        <v/>
      </c>
      <c r="BH25" s="22">
        <f>BH19+BH13</f>
        <v/>
      </c>
      <c r="BI25" s="22">
        <f>BI19+BI13</f>
        <v/>
      </c>
      <c r="BJ25" s="22">
        <f>BJ19+BJ13</f>
        <v/>
      </c>
      <c r="BK25" s="22">
        <f>BK19+BK13</f>
        <v/>
      </c>
      <c r="BL25" s="22">
        <f>BL19+BL13</f>
        <v/>
      </c>
      <c r="BM25" s="22">
        <f>BM19+BM13</f>
        <v/>
      </c>
      <c r="BN25" s="22">
        <f>BN19+BN13</f>
        <v/>
      </c>
      <c r="BO25" s="22">
        <f>BO19+BO13</f>
        <v/>
      </c>
      <c r="BP25" s="22">
        <f>BP19+BP13</f>
        <v/>
      </c>
      <c r="BQ25" s="22">
        <f>BQ19+BQ13</f>
        <v/>
      </c>
      <c r="BR25" s="22">
        <f>BR19+BR13</f>
        <v/>
      </c>
      <c r="BS25" s="22">
        <f>BS19+BS13</f>
        <v/>
      </c>
      <c r="BT25" s="22">
        <f>BT19+BT13</f>
        <v/>
      </c>
      <c r="BU25" s="22">
        <f>BU19+BU13</f>
        <v/>
      </c>
      <c r="BV25" s="22">
        <f>BV19+BV13</f>
        <v/>
      </c>
      <c r="BW25" s="22">
        <f>BW19+BW13</f>
        <v/>
      </c>
      <c r="BX25" s="22">
        <f>BX19+BX13</f>
        <v/>
      </c>
      <c r="BY25" s="22">
        <f>BY19+BY13</f>
        <v/>
      </c>
      <c r="BZ25" s="22">
        <f>BZ19+BZ13</f>
        <v/>
      </c>
      <c r="CA25" s="22">
        <f>CA19+CA13</f>
        <v/>
      </c>
      <c r="CB25" s="22">
        <f>CB19+CB13</f>
        <v/>
      </c>
      <c r="CC25" s="22">
        <f>CC19+CC13</f>
        <v/>
      </c>
      <c r="CD25" s="22">
        <f>CD19+CD13</f>
        <v/>
      </c>
      <c r="CE25" s="22">
        <f>CE19+CE13</f>
        <v/>
      </c>
      <c r="CF25" s="22">
        <f>CF19+CF13</f>
        <v/>
      </c>
      <c r="CG25" s="22">
        <f>CG19+CG13</f>
        <v/>
      </c>
      <c r="CH25" s="22">
        <f>CH19+CH13</f>
        <v/>
      </c>
      <c r="CI25" s="22">
        <f>CI19+CI13</f>
        <v/>
      </c>
      <c r="CJ25" s="22">
        <f>CJ19+CJ13</f>
        <v/>
      </c>
      <c r="CK25" s="22">
        <f>CK19+CK13</f>
        <v/>
      </c>
      <c r="CL25" s="22">
        <f>CL19+CL13</f>
        <v/>
      </c>
      <c r="CM25" s="22">
        <f>CM19+CM13</f>
        <v/>
      </c>
      <c r="CN25" s="22">
        <f>CN19+CN13</f>
        <v/>
      </c>
      <c r="CO25" s="22">
        <f>CO19+CO13</f>
        <v/>
      </c>
      <c r="CP25" s="22">
        <f>CP19+CP13</f>
        <v/>
      </c>
      <c r="CQ25" s="22">
        <f>CQ19+CQ13</f>
        <v/>
      </c>
      <c r="CR25" s="22">
        <f>CR19+CR13</f>
        <v/>
      </c>
      <c r="CS25" s="22">
        <f>CS19+CS13</f>
        <v/>
      </c>
      <c r="CT25" s="22">
        <f>CT19+CT13</f>
        <v/>
      </c>
      <c r="CU25" s="22">
        <f>CU19+CU13</f>
        <v/>
      </c>
      <c r="CV25" s="22">
        <f>CV19+CV13</f>
        <v/>
      </c>
      <c r="CW25" s="22">
        <f>CW19+CW13</f>
        <v/>
      </c>
      <c r="CX25" s="22">
        <f>CX19+CX13</f>
        <v/>
      </c>
      <c r="CY25" s="22">
        <f>CY19+CY13</f>
        <v/>
      </c>
      <c r="CZ25" s="22">
        <f>CZ19+CZ13</f>
        <v/>
      </c>
      <c r="DA25" s="22">
        <f>DA19+DA13</f>
        <v/>
      </c>
      <c r="DB25" s="22">
        <f>DB19+DB13</f>
        <v/>
      </c>
      <c r="DC25" s="22">
        <f>DC19+DC13</f>
        <v/>
      </c>
      <c r="DD25" s="22">
        <f>DD19+DD13</f>
        <v/>
      </c>
      <c r="DE25" s="22">
        <f>DE19+DE13</f>
        <v/>
      </c>
      <c r="DF25" s="22">
        <f>DF19+DF13</f>
        <v/>
      </c>
      <c r="DG25" s="22">
        <f>DG19+DG13</f>
        <v/>
      </c>
      <c r="DH25" s="22">
        <f>DH19+DH13</f>
        <v/>
      </c>
      <c r="DI25" s="22">
        <f>DI19+DI13</f>
        <v/>
      </c>
      <c r="DJ25" s="22">
        <f>DJ19+DJ13</f>
        <v/>
      </c>
      <c r="DK25" s="22">
        <f>DK19+DK13</f>
        <v/>
      </c>
      <c r="DL25" s="22">
        <f>DL19+DL13</f>
        <v/>
      </c>
      <c r="DM25" s="22">
        <f>DM19+DM13</f>
        <v/>
      </c>
      <c r="DN25" s="22">
        <f>DN19+DN13</f>
        <v/>
      </c>
      <c r="DO25" s="22">
        <f>DO19+DO13</f>
        <v/>
      </c>
      <c r="DP25" s="22">
        <f>DP19+DP13</f>
        <v/>
      </c>
      <c r="DQ25" s="22">
        <f>DQ19+DQ13</f>
        <v/>
      </c>
      <c r="DR25" s="22">
        <f>DR19+DR13</f>
        <v/>
      </c>
      <c r="DS25" s="22">
        <f>DS19+DS13</f>
        <v/>
      </c>
    </row>
    <row r="26">
      <c r="A26" s="2" t="inlineStr">
        <is>
          <t>GT_REV_Y</t>
        </is>
      </c>
      <c r="B26" s="6" t="inlineStr">
        <is>
          <t>Sales: young stock</t>
        </is>
      </c>
      <c r="C26" s="2" t="inlineStr">
        <is>
          <t>RWF</t>
        </is>
      </c>
      <c r="D26" s="25">
        <f>D19*Assumptions!$H$81*Assumptions!$H$89*Sensitivity!$C$6*(1+Models!$H$37*Assumptions!$H$101)</f>
        <v/>
      </c>
      <c r="E26" s="25">
        <f>E19*Assumptions!$H$81*Assumptions!$H$89*Sensitivity!$C$6*(1+Models!$H$37*Assumptions!$H$101)</f>
        <v/>
      </c>
      <c r="F26" s="25">
        <f>F19*Assumptions!$H$81*Assumptions!$H$89*Sensitivity!$C$6*(1+Models!$H$37*Assumptions!$H$101)</f>
        <v/>
      </c>
      <c r="G26" s="25">
        <f>G19*Assumptions!$H$81*Assumptions!$H$89*Sensitivity!$C$6*(1+Models!$H$37*Assumptions!$H$101)</f>
        <v/>
      </c>
      <c r="H26" s="25">
        <f>H19*Assumptions!$H$81*Assumptions!$H$89*Sensitivity!$C$6*(1+Models!$H$37*Assumptions!$H$101)</f>
        <v/>
      </c>
      <c r="I26" s="25">
        <f>I19*Assumptions!$H$81*Assumptions!$H$89*Sensitivity!$C$6*(1+Models!$H$37*Assumptions!$H$101)</f>
        <v/>
      </c>
      <c r="J26" s="25">
        <f>J19*Assumptions!$H$81*Assumptions!$H$89*Sensitivity!$C$6*(1+Models!$H$37*Assumptions!$H$101)</f>
        <v/>
      </c>
      <c r="K26" s="25">
        <f>K19*Assumptions!$H$81*Assumptions!$H$89*Sensitivity!$C$6*(1+Models!$H$37*Assumptions!$H$101)</f>
        <v/>
      </c>
      <c r="L26" s="25">
        <f>L19*Assumptions!$H$81*Assumptions!$H$89*Sensitivity!$C$6*(1+Models!$H$37*Assumptions!$H$101)</f>
        <v/>
      </c>
      <c r="M26" s="25">
        <f>M19*Assumptions!$H$81*Assumptions!$H$89*Sensitivity!$C$6*(1+Models!$H$37*Assumptions!$H$101)</f>
        <v/>
      </c>
      <c r="N26" s="25">
        <f>N19*Assumptions!$H$81*Assumptions!$H$89*Sensitivity!$C$6*(1+Models!$H$37*Assumptions!$H$101)</f>
        <v/>
      </c>
      <c r="O26" s="25">
        <f>O19*Assumptions!$H$81*Assumptions!$H$89*Sensitivity!$C$6*(1+Models!$H$37*Assumptions!$H$101)</f>
        <v/>
      </c>
      <c r="P26" s="25">
        <f>P19*Assumptions!$H$81*Assumptions!$H$89*Sensitivity!$C$6*(1+Models!$H$37*Assumptions!$H$101)</f>
        <v/>
      </c>
      <c r="Q26" s="25">
        <f>Q19*Assumptions!$H$81*Assumptions!$H$89*Sensitivity!$C$6*(1+Models!$H$37*Assumptions!$H$101)</f>
        <v/>
      </c>
      <c r="R26" s="25">
        <f>R19*Assumptions!$H$81*Assumptions!$H$89*Sensitivity!$C$6*(1+Models!$H$37*Assumptions!$H$101)</f>
        <v/>
      </c>
      <c r="S26" s="25">
        <f>S19*Assumptions!$H$81*Assumptions!$H$89*Sensitivity!$C$6*(1+Models!$H$37*Assumptions!$H$101)</f>
        <v/>
      </c>
      <c r="T26" s="25">
        <f>T19*Assumptions!$H$81*Assumptions!$H$89*Sensitivity!$C$6*(1+Models!$H$37*Assumptions!$H$101)</f>
        <v/>
      </c>
      <c r="U26" s="25">
        <f>U19*Assumptions!$H$81*Assumptions!$H$89*Sensitivity!$C$6*(1+Models!$H$37*Assumptions!$H$101)</f>
        <v/>
      </c>
      <c r="V26" s="25">
        <f>V19*Assumptions!$H$81*Assumptions!$H$89*Sensitivity!$C$6*(1+Models!$H$37*Assumptions!$H$101)</f>
        <v/>
      </c>
      <c r="W26" s="25">
        <f>W19*Assumptions!$H$81*Assumptions!$H$89*Sensitivity!$C$6*(1+Models!$H$37*Assumptions!$H$101)</f>
        <v/>
      </c>
      <c r="X26" s="25">
        <f>X19*Assumptions!$H$81*Assumptions!$H$89*Sensitivity!$C$6*(1+Models!$H$37*Assumptions!$H$101)</f>
        <v/>
      </c>
      <c r="Y26" s="25">
        <f>Y19*Assumptions!$H$81*Assumptions!$H$89*Sensitivity!$C$6*(1+Models!$H$37*Assumptions!$H$101)</f>
        <v/>
      </c>
      <c r="Z26" s="25">
        <f>Z19*Assumptions!$H$81*Assumptions!$H$89*Sensitivity!$C$6*(1+Models!$H$37*Assumptions!$H$101)</f>
        <v/>
      </c>
      <c r="AA26" s="25">
        <f>AA19*Assumptions!$H$81*Assumptions!$H$89*Sensitivity!$C$6*(1+Models!$H$37*Assumptions!$H$101)</f>
        <v/>
      </c>
      <c r="AB26" s="25">
        <f>AB19*Assumptions!$H$81*Assumptions!$H$89*Sensitivity!$C$6*(1+Models!$H$37*Assumptions!$H$101)</f>
        <v/>
      </c>
      <c r="AC26" s="25">
        <f>AC19*Assumptions!$H$81*Assumptions!$H$89*Sensitivity!$C$6*(1+Models!$H$37*Assumptions!$H$101)</f>
        <v/>
      </c>
      <c r="AD26" s="25">
        <f>AD19*Assumptions!$H$81*Assumptions!$H$89*Sensitivity!$C$6*(1+Models!$H$37*Assumptions!$H$101)</f>
        <v/>
      </c>
      <c r="AE26" s="25">
        <f>AE19*Assumptions!$H$81*Assumptions!$H$89*Sensitivity!$C$6*(1+Models!$H$37*Assumptions!$H$101)</f>
        <v/>
      </c>
      <c r="AF26" s="25">
        <f>AF19*Assumptions!$H$81*Assumptions!$H$89*Sensitivity!$C$6*(1+Models!$H$37*Assumptions!$H$101)</f>
        <v/>
      </c>
      <c r="AG26" s="25">
        <f>AG19*Assumptions!$H$81*Assumptions!$H$89*Sensitivity!$C$6*(1+Models!$H$37*Assumptions!$H$101)</f>
        <v/>
      </c>
      <c r="AH26" s="25">
        <f>AH19*Assumptions!$H$81*Assumptions!$H$89*Sensitivity!$C$6*(1+Models!$H$37*Assumptions!$H$101)</f>
        <v/>
      </c>
      <c r="AI26" s="25">
        <f>AI19*Assumptions!$H$81*Assumptions!$H$89*Sensitivity!$C$6*(1+Models!$H$37*Assumptions!$H$101)</f>
        <v/>
      </c>
      <c r="AJ26" s="25">
        <f>AJ19*Assumptions!$H$81*Assumptions!$H$89*Sensitivity!$C$6*(1+Models!$H$37*Assumptions!$H$101)</f>
        <v/>
      </c>
      <c r="AK26" s="25">
        <f>AK19*Assumptions!$H$81*Assumptions!$H$89*Sensitivity!$C$6*(1+Models!$H$37*Assumptions!$H$101)</f>
        <v/>
      </c>
      <c r="AL26" s="25">
        <f>AL19*Assumptions!$H$81*Assumptions!$H$89*Sensitivity!$C$6*(1+Models!$H$37*Assumptions!$H$101)</f>
        <v/>
      </c>
      <c r="AM26" s="25">
        <f>AM19*Assumptions!$H$81*Assumptions!$H$89*Sensitivity!$C$6*(1+Models!$H$37*Assumptions!$H$101)</f>
        <v/>
      </c>
      <c r="AN26" s="25">
        <f>AN19*Assumptions!$H$81*Assumptions!$H$89*Sensitivity!$C$6*(1+Models!$H$37*Assumptions!$H$101)</f>
        <v/>
      </c>
      <c r="AO26" s="25">
        <f>AO19*Assumptions!$H$81*Assumptions!$H$89*Sensitivity!$C$6*(1+Models!$H$37*Assumptions!$H$101)</f>
        <v/>
      </c>
      <c r="AP26" s="25">
        <f>AP19*Assumptions!$H$81*Assumptions!$H$89*Sensitivity!$C$6*(1+Models!$H$37*Assumptions!$H$101)</f>
        <v/>
      </c>
      <c r="AQ26" s="25">
        <f>AQ19*Assumptions!$H$81*Assumptions!$H$89*Sensitivity!$C$6*(1+Models!$H$37*Assumptions!$H$101)</f>
        <v/>
      </c>
      <c r="AR26" s="25">
        <f>AR19*Assumptions!$H$81*Assumptions!$H$89*Sensitivity!$C$6*(1+Models!$H$37*Assumptions!$H$101)</f>
        <v/>
      </c>
      <c r="AS26" s="25">
        <f>AS19*Assumptions!$H$81*Assumptions!$H$89*Sensitivity!$C$6*(1+Models!$H$37*Assumptions!$H$101)</f>
        <v/>
      </c>
      <c r="AT26" s="25">
        <f>AT19*Assumptions!$H$81*Assumptions!$H$89*Sensitivity!$C$6*(1+Models!$H$37*Assumptions!$H$101)</f>
        <v/>
      </c>
      <c r="AU26" s="25">
        <f>AU19*Assumptions!$H$81*Assumptions!$H$89*Sensitivity!$C$6*(1+Models!$H$37*Assumptions!$H$101)</f>
        <v/>
      </c>
      <c r="AV26" s="25">
        <f>AV19*Assumptions!$H$81*Assumptions!$H$89*Sensitivity!$C$6*(1+Models!$H$37*Assumptions!$H$101)</f>
        <v/>
      </c>
      <c r="AW26" s="25">
        <f>AW19*Assumptions!$H$81*Assumptions!$H$89*Sensitivity!$C$6*(1+Models!$H$37*Assumptions!$H$101)</f>
        <v/>
      </c>
      <c r="AX26" s="25">
        <f>AX19*Assumptions!$H$81*Assumptions!$H$89*Sensitivity!$C$6*(1+Models!$H$37*Assumptions!$H$101)</f>
        <v/>
      </c>
      <c r="AY26" s="25">
        <f>AY19*Assumptions!$H$81*Assumptions!$H$89*Sensitivity!$C$6*(1+Models!$H$37*Assumptions!$H$101)</f>
        <v/>
      </c>
      <c r="AZ26" s="25">
        <f>AZ19*Assumptions!$H$81*Assumptions!$H$89*Sensitivity!$C$6*(1+Models!$H$37*Assumptions!$H$101)</f>
        <v/>
      </c>
      <c r="BA26" s="25">
        <f>BA19*Assumptions!$H$81*Assumptions!$H$89*Sensitivity!$C$6*(1+Models!$H$37*Assumptions!$H$101)</f>
        <v/>
      </c>
      <c r="BB26" s="25">
        <f>BB19*Assumptions!$H$81*Assumptions!$H$89*Sensitivity!$C$6*(1+Models!$H$37*Assumptions!$H$101)</f>
        <v/>
      </c>
      <c r="BC26" s="25">
        <f>BC19*Assumptions!$H$81*Assumptions!$H$89*Sensitivity!$C$6*(1+Models!$H$37*Assumptions!$H$101)</f>
        <v/>
      </c>
      <c r="BD26" s="25">
        <f>BD19*Assumptions!$H$81*Assumptions!$H$89*Sensitivity!$C$6*(1+Models!$H$37*Assumptions!$H$101)</f>
        <v/>
      </c>
      <c r="BE26" s="25">
        <f>BE19*Assumptions!$H$81*Assumptions!$H$89*Sensitivity!$C$6*(1+Models!$H$37*Assumptions!$H$101)</f>
        <v/>
      </c>
      <c r="BF26" s="25">
        <f>BF19*Assumptions!$H$81*Assumptions!$H$89*Sensitivity!$C$6*(1+Models!$H$37*Assumptions!$H$101)</f>
        <v/>
      </c>
      <c r="BG26" s="25">
        <f>BG19*Assumptions!$H$81*Assumptions!$H$89*Sensitivity!$C$6*(1+Models!$H$37*Assumptions!$H$101)</f>
        <v/>
      </c>
      <c r="BH26" s="25">
        <f>BH19*Assumptions!$H$81*Assumptions!$H$89*Sensitivity!$C$6*(1+Models!$H$37*Assumptions!$H$101)</f>
        <v/>
      </c>
      <c r="BI26" s="25">
        <f>BI19*Assumptions!$H$81*Assumptions!$H$89*Sensitivity!$C$6*(1+Models!$H$37*Assumptions!$H$101)</f>
        <v/>
      </c>
      <c r="BJ26" s="25">
        <f>BJ19*Assumptions!$H$81*Assumptions!$H$89*Sensitivity!$C$6*(1+Models!$H$37*Assumptions!$H$101)</f>
        <v/>
      </c>
      <c r="BK26" s="25">
        <f>BK19*Assumptions!$H$81*Assumptions!$H$89*Sensitivity!$C$6*(1+Models!$H$37*Assumptions!$H$101)</f>
        <v/>
      </c>
      <c r="BL26" s="25">
        <f>BL19*Assumptions!$H$81*Assumptions!$H$89*Sensitivity!$C$6*(1+Models!$H$37*Assumptions!$H$101)</f>
        <v/>
      </c>
      <c r="BM26" s="25">
        <f>BM19*Assumptions!$H$81*Assumptions!$H$89*Sensitivity!$C$6*(1+Models!$H$37*Assumptions!$H$101)</f>
        <v/>
      </c>
      <c r="BN26" s="25">
        <f>BN19*Assumptions!$H$81*Assumptions!$H$89*Sensitivity!$C$6*(1+Models!$H$37*Assumptions!$H$101)</f>
        <v/>
      </c>
      <c r="BO26" s="25">
        <f>BO19*Assumptions!$H$81*Assumptions!$H$89*Sensitivity!$C$6*(1+Models!$H$37*Assumptions!$H$101)</f>
        <v/>
      </c>
      <c r="BP26" s="25">
        <f>BP19*Assumptions!$H$81*Assumptions!$H$89*Sensitivity!$C$6*(1+Models!$H$37*Assumptions!$H$101)</f>
        <v/>
      </c>
      <c r="BQ26" s="25">
        <f>BQ19*Assumptions!$H$81*Assumptions!$H$89*Sensitivity!$C$6*(1+Models!$H$37*Assumptions!$H$101)</f>
        <v/>
      </c>
      <c r="BR26" s="25">
        <f>BR19*Assumptions!$H$81*Assumptions!$H$89*Sensitivity!$C$6*(1+Models!$H$37*Assumptions!$H$101)</f>
        <v/>
      </c>
      <c r="BS26" s="25">
        <f>BS19*Assumptions!$H$81*Assumptions!$H$89*Sensitivity!$C$6*(1+Models!$H$37*Assumptions!$H$101)</f>
        <v/>
      </c>
      <c r="BT26" s="25">
        <f>BT19*Assumptions!$H$81*Assumptions!$H$89*Sensitivity!$C$6*(1+Models!$H$37*Assumptions!$H$101)</f>
        <v/>
      </c>
      <c r="BU26" s="25">
        <f>BU19*Assumptions!$H$81*Assumptions!$H$89*Sensitivity!$C$6*(1+Models!$H$37*Assumptions!$H$101)</f>
        <v/>
      </c>
      <c r="BV26" s="25">
        <f>BV19*Assumptions!$H$81*Assumptions!$H$89*Sensitivity!$C$6*(1+Models!$H$37*Assumptions!$H$101)</f>
        <v/>
      </c>
      <c r="BW26" s="25">
        <f>BW19*Assumptions!$H$81*Assumptions!$H$89*Sensitivity!$C$6*(1+Models!$H$37*Assumptions!$H$101)</f>
        <v/>
      </c>
      <c r="BX26" s="25">
        <f>BX19*Assumptions!$H$81*Assumptions!$H$89*Sensitivity!$C$6*(1+Models!$H$37*Assumptions!$H$101)</f>
        <v/>
      </c>
      <c r="BY26" s="25">
        <f>BY19*Assumptions!$H$81*Assumptions!$H$89*Sensitivity!$C$6*(1+Models!$H$37*Assumptions!$H$101)</f>
        <v/>
      </c>
      <c r="BZ26" s="25">
        <f>BZ19*Assumptions!$H$81*Assumptions!$H$89*Sensitivity!$C$6*(1+Models!$H$37*Assumptions!$H$101)</f>
        <v/>
      </c>
      <c r="CA26" s="25">
        <f>CA19*Assumptions!$H$81*Assumptions!$H$89*Sensitivity!$C$6*(1+Models!$H$37*Assumptions!$H$101)</f>
        <v/>
      </c>
      <c r="CB26" s="25">
        <f>CB19*Assumptions!$H$81*Assumptions!$H$89*Sensitivity!$C$6*(1+Models!$H$37*Assumptions!$H$101)</f>
        <v/>
      </c>
      <c r="CC26" s="25">
        <f>CC19*Assumptions!$H$81*Assumptions!$H$89*Sensitivity!$C$6*(1+Models!$H$37*Assumptions!$H$101)</f>
        <v/>
      </c>
      <c r="CD26" s="25">
        <f>CD19*Assumptions!$H$81*Assumptions!$H$89*Sensitivity!$C$6*(1+Models!$H$37*Assumptions!$H$101)</f>
        <v/>
      </c>
      <c r="CE26" s="25">
        <f>CE19*Assumptions!$H$81*Assumptions!$H$89*Sensitivity!$C$6*(1+Models!$H$37*Assumptions!$H$101)</f>
        <v/>
      </c>
      <c r="CF26" s="25">
        <f>CF19*Assumptions!$H$81*Assumptions!$H$89*Sensitivity!$C$6*(1+Models!$H$37*Assumptions!$H$101)</f>
        <v/>
      </c>
      <c r="CG26" s="25">
        <f>CG19*Assumptions!$H$81*Assumptions!$H$89*Sensitivity!$C$6*(1+Models!$H$37*Assumptions!$H$101)</f>
        <v/>
      </c>
      <c r="CH26" s="25">
        <f>CH19*Assumptions!$H$81*Assumptions!$H$89*Sensitivity!$C$6*(1+Models!$H$37*Assumptions!$H$101)</f>
        <v/>
      </c>
      <c r="CI26" s="25">
        <f>CI19*Assumptions!$H$81*Assumptions!$H$89*Sensitivity!$C$6*(1+Models!$H$37*Assumptions!$H$101)</f>
        <v/>
      </c>
      <c r="CJ26" s="25">
        <f>CJ19*Assumptions!$H$81*Assumptions!$H$89*Sensitivity!$C$6*(1+Models!$H$37*Assumptions!$H$101)</f>
        <v/>
      </c>
      <c r="CK26" s="25">
        <f>CK19*Assumptions!$H$81*Assumptions!$H$89*Sensitivity!$C$6*(1+Models!$H$37*Assumptions!$H$101)</f>
        <v/>
      </c>
      <c r="CL26" s="25">
        <f>CL19*Assumptions!$H$81*Assumptions!$H$89*Sensitivity!$C$6*(1+Models!$H$37*Assumptions!$H$101)</f>
        <v/>
      </c>
      <c r="CM26" s="25">
        <f>CM19*Assumptions!$H$81*Assumptions!$H$89*Sensitivity!$C$6*(1+Models!$H$37*Assumptions!$H$101)</f>
        <v/>
      </c>
      <c r="CN26" s="25">
        <f>CN19*Assumptions!$H$81*Assumptions!$H$89*Sensitivity!$C$6*(1+Models!$H$37*Assumptions!$H$101)</f>
        <v/>
      </c>
      <c r="CO26" s="25">
        <f>CO19*Assumptions!$H$81*Assumptions!$H$89*Sensitivity!$C$6*(1+Models!$H$37*Assumptions!$H$101)</f>
        <v/>
      </c>
      <c r="CP26" s="25">
        <f>CP19*Assumptions!$H$81*Assumptions!$H$89*Sensitivity!$C$6*(1+Models!$H$37*Assumptions!$H$101)</f>
        <v/>
      </c>
      <c r="CQ26" s="25">
        <f>CQ19*Assumptions!$H$81*Assumptions!$H$89*Sensitivity!$C$6*(1+Models!$H$37*Assumptions!$H$101)</f>
        <v/>
      </c>
      <c r="CR26" s="25">
        <f>CR19*Assumptions!$H$81*Assumptions!$H$89*Sensitivity!$C$6*(1+Models!$H$37*Assumptions!$H$101)</f>
        <v/>
      </c>
      <c r="CS26" s="25">
        <f>CS19*Assumptions!$H$81*Assumptions!$H$89*Sensitivity!$C$6*(1+Models!$H$37*Assumptions!$H$101)</f>
        <v/>
      </c>
      <c r="CT26" s="25">
        <f>CT19*Assumptions!$H$81*Assumptions!$H$89*Sensitivity!$C$6*(1+Models!$H$37*Assumptions!$H$101)</f>
        <v/>
      </c>
      <c r="CU26" s="25">
        <f>CU19*Assumptions!$H$81*Assumptions!$H$89*Sensitivity!$C$6*(1+Models!$H$37*Assumptions!$H$101)</f>
        <v/>
      </c>
      <c r="CV26" s="25">
        <f>CV19*Assumptions!$H$81*Assumptions!$H$89*Sensitivity!$C$6*(1+Models!$H$37*Assumptions!$H$101)</f>
        <v/>
      </c>
      <c r="CW26" s="25">
        <f>CW19*Assumptions!$H$81*Assumptions!$H$89*Sensitivity!$C$6*(1+Models!$H$37*Assumptions!$H$101)</f>
        <v/>
      </c>
      <c r="CX26" s="25">
        <f>CX19*Assumptions!$H$81*Assumptions!$H$89*Sensitivity!$C$6*(1+Models!$H$37*Assumptions!$H$101)</f>
        <v/>
      </c>
      <c r="CY26" s="25">
        <f>CY19*Assumptions!$H$81*Assumptions!$H$89*Sensitivity!$C$6*(1+Models!$H$37*Assumptions!$H$101)</f>
        <v/>
      </c>
      <c r="CZ26" s="25">
        <f>CZ19*Assumptions!$H$81*Assumptions!$H$89*Sensitivity!$C$6*(1+Models!$H$37*Assumptions!$H$101)</f>
        <v/>
      </c>
      <c r="DA26" s="25">
        <f>DA19*Assumptions!$H$81*Assumptions!$H$89*Sensitivity!$C$6*(1+Models!$H$37*Assumptions!$H$101)</f>
        <v/>
      </c>
      <c r="DB26" s="25">
        <f>DB19*Assumptions!$H$81*Assumptions!$H$89*Sensitivity!$C$6*(1+Models!$H$37*Assumptions!$H$101)</f>
        <v/>
      </c>
      <c r="DC26" s="25">
        <f>DC19*Assumptions!$H$81*Assumptions!$H$89*Sensitivity!$C$6*(1+Models!$H$37*Assumptions!$H$101)</f>
        <v/>
      </c>
      <c r="DD26" s="25">
        <f>DD19*Assumptions!$H$81*Assumptions!$H$89*Sensitivity!$C$6*(1+Models!$H$37*Assumptions!$H$101)</f>
        <v/>
      </c>
      <c r="DE26" s="25">
        <f>DE19*Assumptions!$H$81*Assumptions!$H$89*Sensitivity!$C$6*(1+Models!$H$37*Assumptions!$H$101)</f>
        <v/>
      </c>
      <c r="DF26" s="25">
        <f>DF19*Assumptions!$H$81*Assumptions!$H$89*Sensitivity!$C$6*(1+Models!$H$37*Assumptions!$H$101)</f>
        <v/>
      </c>
      <c r="DG26" s="25">
        <f>DG19*Assumptions!$H$81*Assumptions!$H$89*Sensitivity!$C$6*(1+Models!$H$37*Assumptions!$H$101)</f>
        <v/>
      </c>
      <c r="DH26" s="25">
        <f>DH19*Assumptions!$H$81*Assumptions!$H$89*Sensitivity!$C$6*(1+Models!$H$37*Assumptions!$H$101)</f>
        <v/>
      </c>
      <c r="DI26" s="25">
        <f>DI19*Assumptions!$H$81*Assumptions!$H$89*Sensitivity!$C$6*(1+Models!$H$37*Assumptions!$H$101)</f>
        <v/>
      </c>
      <c r="DJ26" s="25">
        <f>DJ19*Assumptions!$H$81*Assumptions!$H$89*Sensitivity!$C$6*(1+Models!$H$37*Assumptions!$H$101)</f>
        <v/>
      </c>
      <c r="DK26" s="25">
        <f>DK19*Assumptions!$H$81*Assumptions!$H$89*Sensitivity!$C$6*(1+Models!$H$37*Assumptions!$H$101)</f>
        <v/>
      </c>
      <c r="DL26" s="25">
        <f>DL19*Assumptions!$H$81*Assumptions!$H$89*Sensitivity!$C$6*(1+Models!$H$37*Assumptions!$H$101)</f>
        <v/>
      </c>
      <c r="DM26" s="25">
        <f>DM19*Assumptions!$H$81*Assumptions!$H$89*Sensitivity!$C$6*(1+Models!$H$37*Assumptions!$H$101)</f>
        <v/>
      </c>
      <c r="DN26" s="25">
        <f>DN19*Assumptions!$H$81*Assumptions!$H$89*Sensitivity!$C$6*(1+Models!$H$37*Assumptions!$H$101)</f>
        <v/>
      </c>
      <c r="DO26" s="25">
        <f>DO19*Assumptions!$H$81*Assumptions!$H$89*Sensitivity!$C$6*(1+Models!$H$37*Assumptions!$H$101)</f>
        <v/>
      </c>
      <c r="DP26" s="25">
        <f>DP19*Assumptions!$H$81*Assumptions!$H$89*Sensitivity!$C$6*(1+Models!$H$37*Assumptions!$H$101)</f>
        <v/>
      </c>
      <c r="DQ26" s="25">
        <f>DQ19*Assumptions!$H$81*Assumptions!$H$89*Sensitivity!$C$6*(1+Models!$H$37*Assumptions!$H$101)</f>
        <v/>
      </c>
      <c r="DR26" s="25">
        <f>DR19*Assumptions!$H$81*Assumptions!$H$89*Sensitivity!$C$6*(1+Models!$H$37*Assumptions!$H$101)</f>
        <v/>
      </c>
      <c r="DS26" s="25">
        <f>DS19*Assumptions!$H$81*Assumptions!$H$89*Sensitivity!$C$6*(1+Models!$H$37*Assumptions!$H$101)</f>
        <v/>
      </c>
    </row>
    <row r="27">
      <c r="A27" s="2" t="inlineStr">
        <is>
          <t>GT_REV_C</t>
        </is>
      </c>
      <c r="B27" s="6" t="inlineStr">
        <is>
          <t>Sales: culled adults</t>
        </is>
      </c>
      <c r="C27" s="2" t="inlineStr">
        <is>
          <t>RWF</t>
        </is>
      </c>
      <c r="D27" s="25">
        <f>D13*Assumptions!$H$85*Assumptions!$H$89*Sensitivity!$C$6</f>
        <v/>
      </c>
      <c r="E27" s="25">
        <f>E13*Assumptions!$H$85*Assumptions!$H$89*Sensitivity!$C$6</f>
        <v/>
      </c>
      <c r="F27" s="25">
        <f>F13*Assumptions!$H$85*Assumptions!$H$89*Sensitivity!$C$6</f>
        <v/>
      </c>
      <c r="G27" s="25">
        <f>G13*Assumptions!$H$85*Assumptions!$H$89*Sensitivity!$C$6</f>
        <v/>
      </c>
      <c r="H27" s="25">
        <f>H13*Assumptions!$H$85*Assumptions!$H$89*Sensitivity!$C$6</f>
        <v/>
      </c>
      <c r="I27" s="25">
        <f>I13*Assumptions!$H$85*Assumptions!$H$89*Sensitivity!$C$6</f>
        <v/>
      </c>
      <c r="J27" s="25">
        <f>J13*Assumptions!$H$85*Assumptions!$H$89*Sensitivity!$C$6</f>
        <v/>
      </c>
      <c r="K27" s="25">
        <f>K13*Assumptions!$H$85*Assumptions!$H$89*Sensitivity!$C$6</f>
        <v/>
      </c>
      <c r="L27" s="25">
        <f>L13*Assumptions!$H$85*Assumptions!$H$89*Sensitivity!$C$6</f>
        <v/>
      </c>
      <c r="M27" s="25">
        <f>M13*Assumptions!$H$85*Assumptions!$H$89*Sensitivity!$C$6</f>
        <v/>
      </c>
      <c r="N27" s="25">
        <f>N13*Assumptions!$H$85*Assumptions!$H$89*Sensitivity!$C$6</f>
        <v/>
      </c>
      <c r="O27" s="25">
        <f>O13*Assumptions!$H$85*Assumptions!$H$89*Sensitivity!$C$6</f>
        <v/>
      </c>
      <c r="P27" s="25">
        <f>P13*Assumptions!$H$85*Assumptions!$H$89*Sensitivity!$C$6</f>
        <v/>
      </c>
      <c r="Q27" s="25">
        <f>Q13*Assumptions!$H$85*Assumptions!$H$89*Sensitivity!$C$6</f>
        <v/>
      </c>
      <c r="R27" s="25">
        <f>R13*Assumptions!$H$85*Assumptions!$H$89*Sensitivity!$C$6</f>
        <v/>
      </c>
      <c r="S27" s="25">
        <f>S13*Assumptions!$H$85*Assumptions!$H$89*Sensitivity!$C$6</f>
        <v/>
      </c>
      <c r="T27" s="25">
        <f>T13*Assumptions!$H$85*Assumptions!$H$89*Sensitivity!$C$6</f>
        <v/>
      </c>
      <c r="U27" s="25">
        <f>U13*Assumptions!$H$85*Assumptions!$H$89*Sensitivity!$C$6</f>
        <v/>
      </c>
      <c r="V27" s="25">
        <f>V13*Assumptions!$H$85*Assumptions!$H$89*Sensitivity!$C$6</f>
        <v/>
      </c>
      <c r="W27" s="25">
        <f>W13*Assumptions!$H$85*Assumptions!$H$89*Sensitivity!$C$6</f>
        <v/>
      </c>
      <c r="X27" s="25">
        <f>X13*Assumptions!$H$85*Assumptions!$H$89*Sensitivity!$C$6</f>
        <v/>
      </c>
      <c r="Y27" s="25">
        <f>Y13*Assumptions!$H$85*Assumptions!$H$89*Sensitivity!$C$6</f>
        <v/>
      </c>
      <c r="Z27" s="25">
        <f>Z13*Assumptions!$H$85*Assumptions!$H$89*Sensitivity!$C$6</f>
        <v/>
      </c>
      <c r="AA27" s="25">
        <f>AA13*Assumptions!$H$85*Assumptions!$H$89*Sensitivity!$C$6</f>
        <v/>
      </c>
      <c r="AB27" s="25">
        <f>AB13*Assumptions!$H$85*Assumptions!$H$89*Sensitivity!$C$6</f>
        <v/>
      </c>
      <c r="AC27" s="25">
        <f>AC13*Assumptions!$H$85*Assumptions!$H$89*Sensitivity!$C$6</f>
        <v/>
      </c>
      <c r="AD27" s="25">
        <f>AD13*Assumptions!$H$85*Assumptions!$H$89*Sensitivity!$C$6</f>
        <v/>
      </c>
      <c r="AE27" s="25">
        <f>AE13*Assumptions!$H$85*Assumptions!$H$89*Sensitivity!$C$6</f>
        <v/>
      </c>
      <c r="AF27" s="25">
        <f>AF13*Assumptions!$H$85*Assumptions!$H$89*Sensitivity!$C$6</f>
        <v/>
      </c>
      <c r="AG27" s="25">
        <f>AG13*Assumptions!$H$85*Assumptions!$H$89*Sensitivity!$C$6</f>
        <v/>
      </c>
      <c r="AH27" s="25">
        <f>AH13*Assumptions!$H$85*Assumptions!$H$89*Sensitivity!$C$6</f>
        <v/>
      </c>
      <c r="AI27" s="25">
        <f>AI13*Assumptions!$H$85*Assumptions!$H$89*Sensitivity!$C$6</f>
        <v/>
      </c>
      <c r="AJ27" s="25">
        <f>AJ13*Assumptions!$H$85*Assumptions!$H$89*Sensitivity!$C$6</f>
        <v/>
      </c>
      <c r="AK27" s="25">
        <f>AK13*Assumptions!$H$85*Assumptions!$H$89*Sensitivity!$C$6</f>
        <v/>
      </c>
      <c r="AL27" s="25">
        <f>AL13*Assumptions!$H$85*Assumptions!$H$89*Sensitivity!$C$6</f>
        <v/>
      </c>
      <c r="AM27" s="25">
        <f>AM13*Assumptions!$H$85*Assumptions!$H$89*Sensitivity!$C$6</f>
        <v/>
      </c>
      <c r="AN27" s="25">
        <f>AN13*Assumptions!$H$85*Assumptions!$H$89*Sensitivity!$C$6</f>
        <v/>
      </c>
      <c r="AO27" s="25">
        <f>AO13*Assumptions!$H$85*Assumptions!$H$89*Sensitivity!$C$6</f>
        <v/>
      </c>
      <c r="AP27" s="25">
        <f>AP13*Assumptions!$H$85*Assumptions!$H$89*Sensitivity!$C$6</f>
        <v/>
      </c>
      <c r="AQ27" s="25">
        <f>AQ13*Assumptions!$H$85*Assumptions!$H$89*Sensitivity!$C$6</f>
        <v/>
      </c>
      <c r="AR27" s="25">
        <f>AR13*Assumptions!$H$85*Assumptions!$H$89*Sensitivity!$C$6</f>
        <v/>
      </c>
      <c r="AS27" s="25">
        <f>AS13*Assumptions!$H$85*Assumptions!$H$89*Sensitivity!$C$6</f>
        <v/>
      </c>
      <c r="AT27" s="25">
        <f>AT13*Assumptions!$H$85*Assumptions!$H$89*Sensitivity!$C$6</f>
        <v/>
      </c>
      <c r="AU27" s="25">
        <f>AU13*Assumptions!$H$85*Assumptions!$H$89*Sensitivity!$C$6</f>
        <v/>
      </c>
      <c r="AV27" s="25">
        <f>AV13*Assumptions!$H$85*Assumptions!$H$89*Sensitivity!$C$6</f>
        <v/>
      </c>
      <c r="AW27" s="25">
        <f>AW13*Assumptions!$H$85*Assumptions!$H$89*Sensitivity!$C$6</f>
        <v/>
      </c>
      <c r="AX27" s="25">
        <f>AX13*Assumptions!$H$85*Assumptions!$H$89*Sensitivity!$C$6</f>
        <v/>
      </c>
      <c r="AY27" s="25">
        <f>AY13*Assumptions!$H$85*Assumptions!$H$89*Sensitivity!$C$6</f>
        <v/>
      </c>
      <c r="AZ27" s="25">
        <f>AZ13*Assumptions!$H$85*Assumptions!$H$89*Sensitivity!$C$6</f>
        <v/>
      </c>
      <c r="BA27" s="25">
        <f>BA13*Assumptions!$H$85*Assumptions!$H$89*Sensitivity!$C$6</f>
        <v/>
      </c>
      <c r="BB27" s="25">
        <f>BB13*Assumptions!$H$85*Assumptions!$H$89*Sensitivity!$C$6</f>
        <v/>
      </c>
      <c r="BC27" s="25">
        <f>BC13*Assumptions!$H$85*Assumptions!$H$89*Sensitivity!$C$6</f>
        <v/>
      </c>
      <c r="BD27" s="25">
        <f>BD13*Assumptions!$H$85*Assumptions!$H$89*Sensitivity!$C$6</f>
        <v/>
      </c>
      <c r="BE27" s="25">
        <f>BE13*Assumptions!$H$85*Assumptions!$H$89*Sensitivity!$C$6</f>
        <v/>
      </c>
      <c r="BF27" s="25">
        <f>BF13*Assumptions!$H$85*Assumptions!$H$89*Sensitivity!$C$6</f>
        <v/>
      </c>
      <c r="BG27" s="25">
        <f>BG13*Assumptions!$H$85*Assumptions!$H$89*Sensitivity!$C$6</f>
        <v/>
      </c>
      <c r="BH27" s="25">
        <f>BH13*Assumptions!$H$85*Assumptions!$H$89*Sensitivity!$C$6</f>
        <v/>
      </c>
      <c r="BI27" s="25">
        <f>BI13*Assumptions!$H$85*Assumptions!$H$89*Sensitivity!$C$6</f>
        <v/>
      </c>
      <c r="BJ27" s="25">
        <f>BJ13*Assumptions!$H$85*Assumptions!$H$89*Sensitivity!$C$6</f>
        <v/>
      </c>
      <c r="BK27" s="25">
        <f>BK13*Assumptions!$H$85*Assumptions!$H$89*Sensitivity!$C$6</f>
        <v/>
      </c>
      <c r="BL27" s="25">
        <f>BL13*Assumptions!$H$85*Assumptions!$H$89*Sensitivity!$C$6</f>
        <v/>
      </c>
      <c r="BM27" s="25">
        <f>BM13*Assumptions!$H$85*Assumptions!$H$89*Sensitivity!$C$6</f>
        <v/>
      </c>
      <c r="BN27" s="25">
        <f>BN13*Assumptions!$H$85*Assumptions!$H$89*Sensitivity!$C$6</f>
        <v/>
      </c>
      <c r="BO27" s="25">
        <f>BO13*Assumptions!$H$85*Assumptions!$H$89*Sensitivity!$C$6</f>
        <v/>
      </c>
      <c r="BP27" s="25">
        <f>BP13*Assumptions!$H$85*Assumptions!$H$89*Sensitivity!$C$6</f>
        <v/>
      </c>
      <c r="BQ27" s="25">
        <f>BQ13*Assumptions!$H$85*Assumptions!$H$89*Sensitivity!$C$6</f>
        <v/>
      </c>
      <c r="BR27" s="25">
        <f>BR13*Assumptions!$H$85*Assumptions!$H$89*Sensitivity!$C$6</f>
        <v/>
      </c>
      <c r="BS27" s="25">
        <f>BS13*Assumptions!$H$85*Assumptions!$H$89*Sensitivity!$C$6</f>
        <v/>
      </c>
      <c r="BT27" s="25">
        <f>BT13*Assumptions!$H$85*Assumptions!$H$89*Sensitivity!$C$6</f>
        <v/>
      </c>
      <c r="BU27" s="25">
        <f>BU13*Assumptions!$H$85*Assumptions!$H$89*Sensitivity!$C$6</f>
        <v/>
      </c>
      <c r="BV27" s="25">
        <f>BV13*Assumptions!$H$85*Assumptions!$H$89*Sensitivity!$C$6</f>
        <v/>
      </c>
      <c r="BW27" s="25">
        <f>BW13*Assumptions!$H$85*Assumptions!$H$89*Sensitivity!$C$6</f>
        <v/>
      </c>
      <c r="BX27" s="25">
        <f>BX13*Assumptions!$H$85*Assumptions!$H$89*Sensitivity!$C$6</f>
        <v/>
      </c>
      <c r="BY27" s="25">
        <f>BY13*Assumptions!$H$85*Assumptions!$H$89*Sensitivity!$C$6</f>
        <v/>
      </c>
      <c r="BZ27" s="25">
        <f>BZ13*Assumptions!$H$85*Assumptions!$H$89*Sensitivity!$C$6</f>
        <v/>
      </c>
      <c r="CA27" s="25">
        <f>CA13*Assumptions!$H$85*Assumptions!$H$89*Sensitivity!$C$6</f>
        <v/>
      </c>
      <c r="CB27" s="25">
        <f>CB13*Assumptions!$H$85*Assumptions!$H$89*Sensitivity!$C$6</f>
        <v/>
      </c>
      <c r="CC27" s="25">
        <f>CC13*Assumptions!$H$85*Assumptions!$H$89*Sensitivity!$C$6</f>
        <v/>
      </c>
      <c r="CD27" s="25">
        <f>CD13*Assumptions!$H$85*Assumptions!$H$89*Sensitivity!$C$6</f>
        <v/>
      </c>
      <c r="CE27" s="25">
        <f>CE13*Assumptions!$H$85*Assumptions!$H$89*Sensitivity!$C$6</f>
        <v/>
      </c>
      <c r="CF27" s="25">
        <f>CF13*Assumptions!$H$85*Assumptions!$H$89*Sensitivity!$C$6</f>
        <v/>
      </c>
      <c r="CG27" s="25">
        <f>CG13*Assumptions!$H$85*Assumptions!$H$89*Sensitivity!$C$6</f>
        <v/>
      </c>
      <c r="CH27" s="25">
        <f>CH13*Assumptions!$H$85*Assumptions!$H$89*Sensitivity!$C$6</f>
        <v/>
      </c>
      <c r="CI27" s="25">
        <f>CI13*Assumptions!$H$85*Assumptions!$H$89*Sensitivity!$C$6</f>
        <v/>
      </c>
      <c r="CJ27" s="25">
        <f>CJ13*Assumptions!$H$85*Assumptions!$H$89*Sensitivity!$C$6</f>
        <v/>
      </c>
      <c r="CK27" s="25">
        <f>CK13*Assumptions!$H$85*Assumptions!$H$89*Sensitivity!$C$6</f>
        <v/>
      </c>
      <c r="CL27" s="25">
        <f>CL13*Assumptions!$H$85*Assumptions!$H$89*Sensitivity!$C$6</f>
        <v/>
      </c>
      <c r="CM27" s="25">
        <f>CM13*Assumptions!$H$85*Assumptions!$H$89*Sensitivity!$C$6</f>
        <v/>
      </c>
      <c r="CN27" s="25">
        <f>CN13*Assumptions!$H$85*Assumptions!$H$89*Sensitivity!$C$6</f>
        <v/>
      </c>
      <c r="CO27" s="25">
        <f>CO13*Assumptions!$H$85*Assumptions!$H$89*Sensitivity!$C$6</f>
        <v/>
      </c>
      <c r="CP27" s="25">
        <f>CP13*Assumptions!$H$85*Assumptions!$H$89*Sensitivity!$C$6</f>
        <v/>
      </c>
      <c r="CQ27" s="25">
        <f>CQ13*Assumptions!$H$85*Assumptions!$H$89*Sensitivity!$C$6</f>
        <v/>
      </c>
      <c r="CR27" s="25">
        <f>CR13*Assumptions!$H$85*Assumptions!$H$89*Sensitivity!$C$6</f>
        <v/>
      </c>
      <c r="CS27" s="25">
        <f>CS13*Assumptions!$H$85*Assumptions!$H$89*Sensitivity!$C$6</f>
        <v/>
      </c>
      <c r="CT27" s="25">
        <f>CT13*Assumptions!$H$85*Assumptions!$H$89*Sensitivity!$C$6</f>
        <v/>
      </c>
      <c r="CU27" s="25">
        <f>CU13*Assumptions!$H$85*Assumptions!$H$89*Sensitivity!$C$6</f>
        <v/>
      </c>
      <c r="CV27" s="25">
        <f>CV13*Assumptions!$H$85*Assumptions!$H$89*Sensitivity!$C$6</f>
        <v/>
      </c>
      <c r="CW27" s="25">
        <f>CW13*Assumptions!$H$85*Assumptions!$H$89*Sensitivity!$C$6</f>
        <v/>
      </c>
      <c r="CX27" s="25">
        <f>CX13*Assumptions!$H$85*Assumptions!$H$89*Sensitivity!$C$6</f>
        <v/>
      </c>
      <c r="CY27" s="25">
        <f>CY13*Assumptions!$H$85*Assumptions!$H$89*Sensitivity!$C$6</f>
        <v/>
      </c>
      <c r="CZ27" s="25">
        <f>CZ13*Assumptions!$H$85*Assumptions!$H$89*Sensitivity!$C$6</f>
        <v/>
      </c>
      <c r="DA27" s="25">
        <f>DA13*Assumptions!$H$85*Assumptions!$H$89*Sensitivity!$C$6</f>
        <v/>
      </c>
      <c r="DB27" s="25">
        <f>DB13*Assumptions!$H$85*Assumptions!$H$89*Sensitivity!$C$6</f>
        <v/>
      </c>
      <c r="DC27" s="25">
        <f>DC13*Assumptions!$H$85*Assumptions!$H$89*Sensitivity!$C$6</f>
        <v/>
      </c>
      <c r="DD27" s="25">
        <f>DD13*Assumptions!$H$85*Assumptions!$H$89*Sensitivity!$C$6</f>
        <v/>
      </c>
      <c r="DE27" s="25">
        <f>DE13*Assumptions!$H$85*Assumptions!$H$89*Sensitivity!$C$6</f>
        <v/>
      </c>
      <c r="DF27" s="25">
        <f>DF13*Assumptions!$H$85*Assumptions!$H$89*Sensitivity!$C$6</f>
        <v/>
      </c>
      <c r="DG27" s="25">
        <f>DG13*Assumptions!$H$85*Assumptions!$H$89*Sensitivity!$C$6</f>
        <v/>
      </c>
      <c r="DH27" s="25">
        <f>DH13*Assumptions!$H$85*Assumptions!$H$89*Sensitivity!$C$6</f>
        <v/>
      </c>
      <c r="DI27" s="25">
        <f>DI13*Assumptions!$H$85*Assumptions!$H$89*Sensitivity!$C$6</f>
        <v/>
      </c>
      <c r="DJ27" s="25">
        <f>DJ13*Assumptions!$H$85*Assumptions!$H$89*Sensitivity!$C$6</f>
        <v/>
      </c>
      <c r="DK27" s="25">
        <f>DK13*Assumptions!$H$85*Assumptions!$H$89*Sensitivity!$C$6</f>
        <v/>
      </c>
      <c r="DL27" s="25">
        <f>DL13*Assumptions!$H$85*Assumptions!$H$89*Sensitivity!$C$6</f>
        <v/>
      </c>
      <c r="DM27" s="25">
        <f>DM13*Assumptions!$H$85*Assumptions!$H$89*Sensitivity!$C$6</f>
        <v/>
      </c>
      <c r="DN27" s="25">
        <f>DN13*Assumptions!$H$85*Assumptions!$H$89*Sensitivity!$C$6</f>
        <v/>
      </c>
      <c r="DO27" s="25">
        <f>DO13*Assumptions!$H$85*Assumptions!$H$89*Sensitivity!$C$6</f>
        <v/>
      </c>
      <c r="DP27" s="25">
        <f>DP13*Assumptions!$H$85*Assumptions!$H$89*Sensitivity!$C$6</f>
        <v/>
      </c>
      <c r="DQ27" s="25">
        <f>DQ13*Assumptions!$H$85*Assumptions!$H$89*Sensitivity!$C$6</f>
        <v/>
      </c>
      <c r="DR27" s="25">
        <f>DR13*Assumptions!$H$85*Assumptions!$H$89*Sensitivity!$C$6</f>
        <v/>
      </c>
      <c r="DS27" s="25">
        <f>DS13*Assumptions!$H$85*Assumptions!$H$89*Sensitivity!$C$6</f>
        <v/>
      </c>
    </row>
    <row r="28">
      <c r="A28" s="2" t="inlineStr">
        <is>
          <t>GT_BUYCOST</t>
        </is>
      </c>
      <c r="B28" s="6" t="inlineStr">
        <is>
          <t>Animal purchases</t>
        </is>
      </c>
      <c r="C28" s="2" t="inlineStr">
        <is>
          <t>RWF</t>
        </is>
      </c>
      <c r="D28" s="25">
        <f>(D9*Assumptions!$H$93+D23*Assumptions!$H$97)*Sensitivity!$C$11</f>
        <v/>
      </c>
      <c r="E28" s="25">
        <f>(E9*Assumptions!$H$93+E23*Assumptions!$H$97)*Sensitivity!$C$11</f>
        <v/>
      </c>
      <c r="F28" s="25">
        <f>(F9*Assumptions!$H$93+F23*Assumptions!$H$97)*Sensitivity!$C$11</f>
        <v/>
      </c>
      <c r="G28" s="25">
        <f>(G9*Assumptions!$H$93+G23*Assumptions!$H$97)*Sensitivity!$C$11</f>
        <v/>
      </c>
      <c r="H28" s="25">
        <f>(H9*Assumptions!$H$93+H23*Assumptions!$H$97)*Sensitivity!$C$11</f>
        <v/>
      </c>
      <c r="I28" s="25">
        <f>(I9*Assumptions!$H$93+I23*Assumptions!$H$97)*Sensitivity!$C$11</f>
        <v/>
      </c>
      <c r="J28" s="25">
        <f>(J9*Assumptions!$H$93+J23*Assumptions!$H$97)*Sensitivity!$C$11</f>
        <v/>
      </c>
      <c r="K28" s="25">
        <f>(K9*Assumptions!$H$93+K23*Assumptions!$H$97)*Sensitivity!$C$11</f>
        <v/>
      </c>
      <c r="L28" s="25">
        <f>(L9*Assumptions!$H$93+L23*Assumptions!$H$97)*Sensitivity!$C$11</f>
        <v/>
      </c>
      <c r="M28" s="25">
        <f>(M9*Assumptions!$H$93+M23*Assumptions!$H$97)*Sensitivity!$C$11</f>
        <v/>
      </c>
      <c r="N28" s="25">
        <f>(N9*Assumptions!$H$93+N23*Assumptions!$H$97)*Sensitivity!$C$11</f>
        <v/>
      </c>
      <c r="O28" s="25">
        <f>(O9*Assumptions!$H$93+O23*Assumptions!$H$97)*Sensitivity!$C$11</f>
        <v/>
      </c>
      <c r="P28" s="25">
        <f>(P9*Assumptions!$H$93+P23*Assumptions!$H$97)*Sensitivity!$C$11</f>
        <v/>
      </c>
      <c r="Q28" s="25">
        <f>(Q9*Assumptions!$H$93+Q23*Assumptions!$H$97)*Sensitivity!$C$11</f>
        <v/>
      </c>
      <c r="R28" s="25">
        <f>(R9*Assumptions!$H$93+R23*Assumptions!$H$97)*Sensitivity!$C$11</f>
        <v/>
      </c>
      <c r="S28" s="25">
        <f>(S9*Assumptions!$H$93+S23*Assumptions!$H$97)*Sensitivity!$C$11</f>
        <v/>
      </c>
      <c r="T28" s="25">
        <f>(T9*Assumptions!$H$93+T23*Assumptions!$H$97)*Sensitivity!$C$11</f>
        <v/>
      </c>
      <c r="U28" s="25">
        <f>(U9*Assumptions!$H$93+U23*Assumptions!$H$97)*Sensitivity!$C$11</f>
        <v/>
      </c>
      <c r="V28" s="25">
        <f>(V9*Assumptions!$H$93+V23*Assumptions!$H$97)*Sensitivity!$C$11</f>
        <v/>
      </c>
      <c r="W28" s="25">
        <f>(W9*Assumptions!$H$93+W23*Assumptions!$H$97)*Sensitivity!$C$11</f>
        <v/>
      </c>
      <c r="X28" s="25">
        <f>(X9*Assumptions!$H$93+X23*Assumptions!$H$97)*Sensitivity!$C$11</f>
        <v/>
      </c>
      <c r="Y28" s="25">
        <f>(Y9*Assumptions!$H$93+Y23*Assumptions!$H$97)*Sensitivity!$C$11</f>
        <v/>
      </c>
      <c r="Z28" s="25">
        <f>(Z9*Assumptions!$H$93+Z23*Assumptions!$H$97)*Sensitivity!$C$11</f>
        <v/>
      </c>
      <c r="AA28" s="25">
        <f>(AA9*Assumptions!$H$93+AA23*Assumptions!$H$97)*Sensitivity!$C$11</f>
        <v/>
      </c>
      <c r="AB28" s="25">
        <f>(AB9*Assumptions!$H$93+AB23*Assumptions!$H$97)*Sensitivity!$C$11</f>
        <v/>
      </c>
      <c r="AC28" s="25">
        <f>(AC9*Assumptions!$H$93+AC23*Assumptions!$H$97)*Sensitivity!$C$11</f>
        <v/>
      </c>
      <c r="AD28" s="25">
        <f>(AD9*Assumptions!$H$93+AD23*Assumptions!$H$97)*Sensitivity!$C$11</f>
        <v/>
      </c>
      <c r="AE28" s="25">
        <f>(AE9*Assumptions!$H$93+AE23*Assumptions!$H$97)*Sensitivity!$C$11</f>
        <v/>
      </c>
      <c r="AF28" s="25">
        <f>(AF9*Assumptions!$H$93+AF23*Assumptions!$H$97)*Sensitivity!$C$11</f>
        <v/>
      </c>
      <c r="AG28" s="25">
        <f>(AG9*Assumptions!$H$93+AG23*Assumptions!$H$97)*Sensitivity!$C$11</f>
        <v/>
      </c>
      <c r="AH28" s="25">
        <f>(AH9*Assumptions!$H$93+AH23*Assumptions!$H$97)*Sensitivity!$C$11</f>
        <v/>
      </c>
      <c r="AI28" s="25">
        <f>(AI9*Assumptions!$H$93+AI23*Assumptions!$H$97)*Sensitivity!$C$11</f>
        <v/>
      </c>
      <c r="AJ28" s="25">
        <f>(AJ9*Assumptions!$H$93+AJ23*Assumptions!$H$97)*Sensitivity!$C$11</f>
        <v/>
      </c>
      <c r="AK28" s="25">
        <f>(AK9*Assumptions!$H$93+AK23*Assumptions!$H$97)*Sensitivity!$C$11</f>
        <v/>
      </c>
      <c r="AL28" s="25">
        <f>(AL9*Assumptions!$H$93+AL23*Assumptions!$H$97)*Sensitivity!$C$11</f>
        <v/>
      </c>
      <c r="AM28" s="25">
        <f>(AM9*Assumptions!$H$93+AM23*Assumptions!$H$97)*Sensitivity!$C$11</f>
        <v/>
      </c>
      <c r="AN28" s="25">
        <f>(AN9*Assumptions!$H$93+AN23*Assumptions!$H$97)*Sensitivity!$C$11</f>
        <v/>
      </c>
      <c r="AO28" s="25">
        <f>(AO9*Assumptions!$H$93+AO23*Assumptions!$H$97)*Sensitivity!$C$11</f>
        <v/>
      </c>
      <c r="AP28" s="25">
        <f>(AP9*Assumptions!$H$93+AP23*Assumptions!$H$97)*Sensitivity!$C$11</f>
        <v/>
      </c>
      <c r="AQ28" s="25">
        <f>(AQ9*Assumptions!$H$93+AQ23*Assumptions!$H$97)*Sensitivity!$C$11</f>
        <v/>
      </c>
      <c r="AR28" s="25">
        <f>(AR9*Assumptions!$H$93+AR23*Assumptions!$H$97)*Sensitivity!$C$11</f>
        <v/>
      </c>
      <c r="AS28" s="25">
        <f>(AS9*Assumptions!$H$93+AS23*Assumptions!$H$97)*Sensitivity!$C$11</f>
        <v/>
      </c>
      <c r="AT28" s="25">
        <f>(AT9*Assumptions!$H$93+AT23*Assumptions!$H$97)*Sensitivity!$C$11</f>
        <v/>
      </c>
      <c r="AU28" s="25">
        <f>(AU9*Assumptions!$H$93+AU23*Assumptions!$H$97)*Sensitivity!$C$11</f>
        <v/>
      </c>
      <c r="AV28" s="25">
        <f>(AV9*Assumptions!$H$93+AV23*Assumptions!$H$97)*Sensitivity!$C$11</f>
        <v/>
      </c>
      <c r="AW28" s="25">
        <f>(AW9*Assumptions!$H$93+AW23*Assumptions!$H$97)*Sensitivity!$C$11</f>
        <v/>
      </c>
      <c r="AX28" s="25">
        <f>(AX9*Assumptions!$H$93+AX23*Assumptions!$H$97)*Sensitivity!$C$11</f>
        <v/>
      </c>
      <c r="AY28" s="25">
        <f>(AY9*Assumptions!$H$93+AY23*Assumptions!$H$97)*Sensitivity!$C$11</f>
        <v/>
      </c>
      <c r="AZ28" s="25">
        <f>(AZ9*Assumptions!$H$93+AZ23*Assumptions!$H$97)*Sensitivity!$C$11</f>
        <v/>
      </c>
      <c r="BA28" s="25">
        <f>(BA9*Assumptions!$H$93+BA23*Assumptions!$H$97)*Sensitivity!$C$11</f>
        <v/>
      </c>
      <c r="BB28" s="25">
        <f>(BB9*Assumptions!$H$93+BB23*Assumptions!$H$97)*Sensitivity!$C$11</f>
        <v/>
      </c>
      <c r="BC28" s="25">
        <f>(BC9*Assumptions!$H$93+BC23*Assumptions!$H$97)*Sensitivity!$C$11</f>
        <v/>
      </c>
      <c r="BD28" s="25">
        <f>(BD9*Assumptions!$H$93+BD23*Assumptions!$H$97)*Sensitivity!$C$11</f>
        <v/>
      </c>
      <c r="BE28" s="25">
        <f>(BE9*Assumptions!$H$93+BE23*Assumptions!$H$97)*Sensitivity!$C$11</f>
        <v/>
      </c>
      <c r="BF28" s="25">
        <f>(BF9*Assumptions!$H$93+BF23*Assumptions!$H$97)*Sensitivity!$C$11</f>
        <v/>
      </c>
      <c r="BG28" s="25">
        <f>(BG9*Assumptions!$H$93+BG23*Assumptions!$H$97)*Sensitivity!$C$11</f>
        <v/>
      </c>
      <c r="BH28" s="25">
        <f>(BH9*Assumptions!$H$93+BH23*Assumptions!$H$97)*Sensitivity!$C$11</f>
        <v/>
      </c>
      <c r="BI28" s="25">
        <f>(BI9*Assumptions!$H$93+BI23*Assumptions!$H$97)*Sensitivity!$C$11</f>
        <v/>
      </c>
      <c r="BJ28" s="25">
        <f>(BJ9*Assumptions!$H$93+BJ23*Assumptions!$H$97)*Sensitivity!$C$11</f>
        <v/>
      </c>
      <c r="BK28" s="25">
        <f>(BK9*Assumptions!$H$93+BK23*Assumptions!$H$97)*Sensitivity!$C$11</f>
        <v/>
      </c>
      <c r="BL28" s="25">
        <f>(BL9*Assumptions!$H$93+BL23*Assumptions!$H$97)*Sensitivity!$C$11</f>
        <v/>
      </c>
      <c r="BM28" s="25">
        <f>(BM9*Assumptions!$H$93+BM23*Assumptions!$H$97)*Sensitivity!$C$11</f>
        <v/>
      </c>
      <c r="BN28" s="25">
        <f>(BN9*Assumptions!$H$93+BN23*Assumptions!$H$97)*Sensitivity!$C$11</f>
        <v/>
      </c>
      <c r="BO28" s="25">
        <f>(BO9*Assumptions!$H$93+BO23*Assumptions!$H$97)*Sensitivity!$C$11</f>
        <v/>
      </c>
      <c r="BP28" s="25">
        <f>(BP9*Assumptions!$H$93+BP23*Assumptions!$H$97)*Sensitivity!$C$11</f>
        <v/>
      </c>
      <c r="BQ28" s="25">
        <f>(BQ9*Assumptions!$H$93+BQ23*Assumptions!$H$97)*Sensitivity!$C$11</f>
        <v/>
      </c>
      <c r="BR28" s="25">
        <f>(BR9*Assumptions!$H$93+BR23*Assumptions!$H$97)*Sensitivity!$C$11</f>
        <v/>
      </c>
      <c r="BS28" s="25">
        <f>(BS9*Assumptions!$H$93+BS23*Assumptions!$H$97)*Sensitivity!$C$11</f>
        <v/>
      </c>
      <c r="BT28" s="25">
        <f>(BT9*Assumptions!$H$93+BT23*Assumptions!$H$97)*Sensitivity!$C$11</f>
        <v/>
      </c>
      <c r="BU28" s="25">
        <f>(BU9*Assumptions!$H$93+BU23*Assumptions!$H$97)*Sensitivity!$C$11</f>
        <v/>
      </c>
      <c r="BV28" s="25">
        <f>(BV9*Assumptions!$H$93+BV23*Assumptions!$H$97)*Sensitivity!$C$11</f>
        <v/>
      </c>
      <c r="BW28" s="25">
        <f>(BW9*Assumptions!$H$93+BW23*Assumptions!$H$97)*Sensitivity!$C$11</f>
        <v/>
      </c>
      <c r="BX28" s="25">
        <f>(BX9*Assumptions!$H$93+BX23*Assumptions!$H$97)*Sensitivity!$C$11</f>
        <v/>
      </c>
      <c r="BY28" s="25">
        <f>(BY9*Assumptions!$H$93+BY23*Assumptions!$H$97)*Sensitivity!$C$11</f>
        <v/>
      </c>
      <c r="BZ28" s="25">
        <f>(BZ9*Assumptions!$H$93+BZ23*Assumptions!$H$97)*Sensitivity!$C$11</f>
        <v/>
      </c>
      <c r="CA28" s="25">
        <f>(CA9*Assumptions!$H$93+CA23*Assumptions!$H$97)*Sensitivity!$C$11</f>
        <v/>
      </c>
      <c r="CB28" s="25">
        <f>(CB9*Assumptions!$H$93+CB23*Assumptions!$H$97)*Sensitivity!$C$11</f>
        <v/>
      </c>
      <c r="CC28" s="25">
        <f>(CC9*Assumptions!$H$93+CC23*Assumptions!$H$97)*Sensitivity!$C$11</f>
        <v/>
      </c>
      <c r="CD28" s="25">
        <f>(CD9*Assumptions!$H$93+CD23*Assumptions!$H$97)*Sensitivity!$C$11</f>
        <v/>
      </c>
      <c r="CE28" s="25">
        <f>(CE9*Assumptions!$H$93+CE23*Assumptions!$H$97)*Sensitivity!$C$11</f>
        <v/>
      </c>
      <c r="CF28" s="25">
        <f>(CF9*Assumptions!$H$93+CF23*Assumptions!$H$97)*Sensitivity!$C$11</f>
        <v/>
      </c>
      <c r="CG28" s="25">
        <f>(CG9*Assumptions!$H$93+CG23*Assumptions!$H$97)*Sensitivity!$C$11</f>
        <v/>
      </c>
      <c r="CH28" s="25">
        <f>(CH9*Assumptions!$H$93+CH23*Assumptions!$H$97)*Sensitivity!$C$11</f>
        <v/>
      </c>
      <c r="CI28" s="25">
        <f>(CI9*Assumptions!$H$93+CI23*Assumptions!$H$97)*Sensitivity!$C$11</f>
        <v/>
      </c>
      <c r="CJ28" s="25">
        <f>(CJ9*Assumptions!$H$93+CJ23*Assumptions!$H$97)*Sensitivity!$C$11</f>
        <v/>
      </c>
      <c r="CK28" s="25">
        <f>(CK9*Assumptions!$H$93+CK23*Assumptions!$H$97)*Sensitivity!$C$11</f>
        <v/>
      </c>
      <c r="CL28" s="25">
        <f>(CL9*Assumptions!$H$93+CL23*Assumptions!$H$97)*Sensitivity!$C$11</f>
        <v/>
      </c>
      <c r="CM28" s="25">
        <f>(CM9*Assumptions!$H$93+CM23*Assumptions!$H$97)*Sensitivity!$C$11</f>
        <v/>
      </c>
      <c r="CN28" s="25">
        <f>(CN9*Assumptions!$H$93+CN23*Assumptions!$H$97)*Sensitivity!$C$11</f>
        <v/>
      </c>
      <c r="CO28" s="25">
        <f>(CO9*Assumptions!$H$93+CO23*Assumptions!$H$97)*Sensitivity!$C$11</f>
        <v/>
      </c>
      <c r="CP28" s="25">
        <f>(CP9*Assumptions!$H$93+CP23*Assumptions!$H$97)*Sensitivity!$C$11</f>
        <v/>
      </c>
      <c r="CQ28" s="25">
        <f>(CQ9*Assumptions!$H$93+CQ23*Assumptions!$H$97)*Sensitivity!$C$11</f>
        <v/>
      </c>
      <c r="CR28" s="25">
        <f>(CR9*Assumptions!$H$93+CR23*Assumptions!$H$97)*Sensitivity!$C$11</f>
        <v/>
      </c>
      <c r="CS28" s="25">
        <f>(CS9*Assumptions!$H$93+CS23*Assumptions!$H$97)*Sensitivity!$C$11</f>
        <v/>
      </c>
      <c r="CT28" s="25">
        <f>(CT9*Assumptions!$H$93+CT23*Assumptions!$H$97)*Sensitivity!$C$11</f>
        <v/>
      </c>
      <c r="CU28" s="25">
        <f>(CU9*Assumptions!$H$93+CU23*Assumptions!$H$97)*Sensitivity!$C$11</f>
        <v/>
      </c>
      <c r="CV28" s="25">
        <f>(CV9*Assumptions!$H$93+CV23*Assumptions!$H$97)*Sensitivity!$C$11</f>
        <v/>
      </c>
      <c r="CW28" s="25">
        <f>(CW9*Assumptions!$H$93+CW23*Assumptions!$H$97)*Sensitivity!$C$11</f>
        <v/>
      </c>
      <c r="CX28" s="25">
        <f>(CX9*Assumptions!$H$93+CX23*Assumptions!$H$97)*Sensitivity!$C$11</f>
        <v/>
      </c>
      <c r="CY28" s="25">
        <f>(CY9*Assumptions!$H$93+CY23*Assumptions!$H$97)*Sensitivity!$C$11</f>
        <v/>
      </c>
      <c r="CZ28" s="25">
        <f>(CZ9*Assumptions!$H$93+CZ23*Assumptions!$H$97)*Sensitivity!$C$11</f>
        <v/>
      </c>
      <c r="DA28" s="25">
        <f>(DA9*Assumptions!$H$93+DA23*Assumptions!$H$97)*Sensitivity!$C$11</f>
        <v/>
      </c>
      <c r="DB28" s="25">
        <f>(DB9*Assumptions!$H$93+DB23*Assumptions!$H$97)*Sensitivity!$C$11</f>
        <v/>
      </c>
      <c r="DC28" s="25">
        <f>(DC9*Assumptions!$H$93+DC23*Assumptions!$H$97)*Sensitivity!$C$11</f>
        <v/>
      </c>
      <c r="DD28" s="25">
        <f>(DD9*Assumptions!$H$93+DD23*Assumptions!$H$97)*Sensitivity!$C$11</f>
        <v/>
      </c>
      <c r="DE28" s="25">
        <f>(DE9*Assumptions!$H$93+DE23*Assumptions!$H$97)*Sensitivity!$C$11</f>
        <v/>
      </c>
      <c r="DF28" s="25">
        <f>(DF9*Assumptions!$H$93+DF23*Assumptions!$H$97)*Sensitivity!$C$11</f>
        <v/>
      </c>
      <c r="DG28" s="25">
        <f>(DG9*Assumptions!$H$93+DG23*Assumptions!$H$97)*Sensitivity!$C$11</f>
        <v/>
      </c>
      <c r="DH28" s="25">
        <f>(DH9*Assumptions!$H$93+DH23*Assumptions!$H$97)*Sensitivity!$C$11</f>
        <v/>
      </c>
      <c r="DI28" s="25">
        <f>(DI9*Assumptions!$H$93+DI23*Assumptions!$H$97)*Sensitivity!$C$11</f>
        <v/>
      </c>
      <c r="DJ28" s="25">
        <f>(DJ9*Assumptions!$H$93+DJ23*Assumptions!$H$97)*Sensitivity!$C$11</f>
        <v/>
      </c>
      <c r="DK28" s="25">
        <f>(DK9*Assumptions!$H$93+DK23*Assumptions!$H$97)*Sensitivity!$C$11</f>
        <v/>
      </c>
      <c r="DL28" s="25">
        <f>(DL9*Assumptions!$H$93+DL23*Assumptions!$H$97)*Sensitivity!$C$11</f>
        <v/>
      </c>
      <c r="DM28" s="25">
        <f>(DM9*Assumptions!$H$93+DM23*Assumptions!$H$97)*Sensitivity!$C$11</f>
        <v/>
      </c>
      <c r="DN28" s="25">
        <f>(DN9*Assumptions!$H$93+DN23*Assumptions!$H$97)*Sensitivity!$C$11</f>
        <v/>
      </c>
      <c r="DO28" s="25">
        <f>(DO9*Assumptions!$H$93+DO23*Assumptions!$H$97)*Sensitivity!$C$11</f>
        <v/>
      </c>
      <c r="DP28" s="25">
        <f>(DP9*Assumptions!$H$93+DP23*Assumptions!$H$97)*Sensitivity!$C$11</f>
        <v/>
      </c>
      <c r="DQ28" s="25">
        <f>(DQ9*Assumptions!$H$93+DQ23*Assumptions!$H$97)*Sensitivity!$C$11</f>
        <v/>
      </c>
      <c r="DR28" s="25">
        <f>(DR9*Assumptions!$H$93+DR23*Assumptions!$H$97)*Sensitivity!$C$11</f>
        <v/>
      </c>
      <c r="DS28" s="25">
        <f>(DS9*Assumptions!$H$93+DS23*Assumptions!$H$97)*Sensitivity!$C$11</f>
        <v/>
      </c>
    </row>
    <row r="29">
      <c r="A29" s="2" t="inlineStr">
        <is>
          <t>GT_VALUE</t>
        </is>
      </c>
      <c r="B29" s="6" t="inlineStr">
        <is>
          <t>Breeding herd value (insurance basis)</t>
        </is>
      </c>
      <c r="C29" s="2" t="inlineStr">
        <is>
          <t>RWF</t>
        </is>
      </c>
      <c r="D29" s="25">
        <f>D18*Assumptions!$H$93+D22*Assumptions!$H$97</f>
        <v/>
      </c>
      <c r="E29" s="25">
        <f>E18*Assumptions!$H$93+E22*Assumptions!$H$97</f>
        <v/>
      </c>
      <c r="F29" s="25">
        <f>F18*Assumptions!$H$93+F22*Assumptions!$H$97</f>
        <v/>
      </c>
      <c r="G29" s="25">
        <f>G18*Assumptions!$H$93+G22*Assumptions!$H$97</f>
        <v/>
      </c>
      <c r="H29" s="25">
        <f>H18*Assumptions!$H$93+H22*Assumptions!$H$97</f>
        <v/>
      </c>
      <c r="I29" s="25">
        <f>I18*Assumptions!$H$93+I22*Assumptions!$H$97</f>
        <v/>
      </c>
      <c r="J29" s="25">
        <f>J18*Assumptions!$H$93+J22*Assumptions!$H$97</f>
        <v/>
      </c>
      <c r="K29" s="25">
        <f>K18*Assumptions!$H$93+K22*Assumptions!$H$97</f>
        <v/>
      </c>
      <c r="L29" s="25">
        <f>L18*Assumptions!$H$93+L22*Assumptions!$H$97</f>
        <v/>
      </c>
      <c r="M29" s="25">
        <f>M18*Assumptions!$H$93+M22*Assumptions!$H$97</f>
        <v/>
      </c>
      <c r="N29" s="25">
        <f>N18*Assumptions!$H$93+N22*Assumptions!$H$97</f>
        <v/>
      </c>
      <c r="O29" s="25">
        <f>O18*Assumptions!$H$93+O22*Assumptions!$H$97</f>
        <v/>
      </c>
      <c r="P29" s="25">
        <f>P18*Assumptions!$H$93+P22*Assumptions!$H$97</f>
        <v/>
      </c>
      <c r="Q29" s="25">
        <f>Q18*Assumptions!$H$93+Q22*Assumptions!$H$97</f>
        <v/>
      </c>
      <c r="R29" s="25">
        <f>R18*Assumptions!$H$93+R22*Assumptions!$H$97</f>
        <v/>
      </c>
      <c r="S29" s="25">
        <f>S18*Assumptions!$H$93+S22*Assumptions!$H$97</f>
        <v/>
      </c>
      <c r="T29" s="25">
        <f>T18*Assumptions!$H$93+T22*Assumptions!$H$97</f>
        <v/>
      </c>
      <c r="U29" s="25">
        <f>U18*Assumptions!$H$93+U22*Assumptions!$H$97</f>
        <v/>
      </c>
      <c r="V29" s="25">
        <f>V18*Assumptions!$H$93+V22*Assumptions!$H$97</f>
        <v/>
      </c>
      <c r="W29" s="25">
        <f>W18*Assumptions!$H$93+W22*Assumptions!$H$97</f>
        <v/>
      </c>
      <c r="X29" s="25">
        <f>X18*Assumptions!$H$93+X22*Assumptions!$H$97</f>
        <v/>
      </c>
      <c r="Y29" s="25">
        <f>Y18*Assumptions!$H$93+Y22*Assumptions!$H$97</f>
        <v/>
      </c>
      <c r="Z29" s="25">
        <f>Z18*Assumptions!$H$93+Z22*Assumptions!$H$97</f>
        <v/>
      </c>
      <c r="AA29" s="25">
        <f>AA18*Assumptions!$H$93+AA22*Assumptions!$H$97</f>
        <v/>
      </c>
      <c r="AB29" s="25">
        <f>AB18*Assumptions!$H$93+AB22*Assumptions!$H$97</f>
        <v/>
      </c>
      <c r="AC29" s="25">
        <f>AC18*Assumptions!$H$93+AC22*Assumptions!$H$97</f>
        <v/>
      </c>
      <c r="AD29" s="25">
        <f>AD18*Assumptions!$H$93+AD22*Assumptions!$H$97</f>
        <v/>
      </c>
      <c r="AE29" s="25">
        <f>AE18*Assumptions!$H$93+AE22*Assumptions!$H$97</f>
        <v/>
      </c>
      <c r="AF29" s="25">
        <f>AF18*Assumptions!$H$93+AF22*Assumptions!$H$97</f>
        <v/>
      </c>
      <c r="AG29" s="25">
        <f>AG18*Assumptions!$H$93+AG22*Assumptions!$H$97</f>
        <v/>
      </c>
      <c r="AH29" s="25">
        <f>AH18*Assumptions!$H$93+AH22*Assumptions!$H$97</f>
        <v/>
      </c>
      <c r="AI29" s="25">
        <f>AI18*Assumptions!$H$93+AI22*Assumptions!$H$97</f>
        <v/>
      </c>
      <c r="AJ29" s="25">
        <f>AJ18*Assumptions!$H$93+AJ22*Assumptions!$H$97</f>
        <v/>
      </c>
      <c r="AK29" s="25">
        <f>AK18*Assumptions!$H$93+AK22*Assumptions!$H$97</f>
        <v/>
      </c>
      <c r="AL29" s="25">
        <f>AL18*Assumptions!$H$93+AL22*Assumptions!$H$97</f>
        <v/>
      </c>
      <c r="AM29" s="25">
        <f>AM18*Assumptions!$H$93+AM22*Assumptions!$H$97</f>
        <v/>
      </c>
      <c r="AN29" s="25">
        <f>AN18*Assumptions!$H$93+AN22*Assumptions!$H$97</f>
        <v/>
      </c>
      <c r="AO29" s="25">
        <f>AO18*Assumptions!$H$93+AO22*Assumptions!$H$97</f>
        <v/>
      </c>
      <c r="AP29" s="25">
        <f>AP18*Assumptions!$H$93+AP22*Assumptions!$H$97</f>
        <v/>
      </c>
      <c r="AQ29" s="25">
        <f>AQ18*Assumptions!$H$93+AQ22*Assumptions!$H$97</f>
        <v/>
      </c>
      <c r="AR29" s="25">
        <f>AR18*Assumptions!$H$93+AR22*Assumptions!$H$97</f>
        <v/>
      </c>
      <c r="AS29" s="25">
        <f>AS18*Assumptions!$H$93+AS22*Assumptions!$H$97</f>
        <v/>
      </c>
      <c r="AT29" s="25">
        <f>AT18*Assumptions!$H$93+AT22*Assumptions!$H$97</f>
        <v/>
      </c>
      <c r="AU29" s="25">
        <f>AU18*Assumptions!$H$93+AU22*Assumptions!$H$97</f>
        <v/>
      </c>
      <c r="AV29" s="25">
        <f>AV18*Assumptions!$H$93+AV22*Assumptions!$H$97</f>
        <v/>
      </c>
      <c r="AW29" s="25">
        <f>AW18*Assumptions!$H$93+AW22*Assumptions!$H$97</f>
        <v/>
      </c>
      <c r="AX29" s="25">
        <f>AX18*Assumptions!$H$93+AX22*Assumptions!$H$97</f>
        <v/>
      </c>
      <c r="AY29" s="25">
        <f>AY18*Assumptions!$H$93+AY22*Assumptions!$H$97</f>
        <v/>
      </c>
      <c r="AZ29" s="25">
        <f>AZ18*Assumptions!$H$93+AZ22*Assumptions!$H$97</f>
        <v/>
      </c>
      <c r="BA29" s="25">
        <f>BA18*Assumptions!$H$93+BA22*Assumptions!$H$97</f>
        <v/>
      </c>
      <c r="BB29" s="25">
        <f>BB18*Assumptions!$H$93+BB22*Assumptions!$H$97</f>
        <v/>
      </c>
      <c r="BC29" s="25">
        <f>BC18*Assumptions!$H$93+BC22*Assumptions!$H$97</f>
        <v/>
      </c>
      <c r="BD29" s="25">
        <f>BD18*Assumptions!$H$93+BD22*Assumptions!$H$97</f>
        <v/>
      </c>
      <c r="BE29" s="25">
        <f>BE18*Assumptions!$H$93+BE22*Assumptions!$H$97</f>
        <v/>
      </c>
      <c r="BF29" s="25">
        <f>BF18*Assumptions!$H$93+BF22*Assumptions!$H$97</f>
        <v/>
      </c>
      <c r="BG29" s="25">
        <f>BG18*Assumptions!$H$93+BG22*Assumptions!$H$97</f>
        <v/>
      </c>
      <c r="BH29" s="25">
        <f>BH18*Assumptions!$H$93+BH22*Assumptions!$H$97</f>
        <v/>
      </c>
      <c r="BI29" s="25">
        <f>BI18*Assumptions!$H$93+BI22*Assumptions!$H$97</f>
        <v/>
      </c>
      <c r="BJ29" s="25">
        <f>BJ18*Assumptions!$H$93+BJ22*Assumptions!$H$97</f>
        <v/>
      </c>
      <c r="BK29" s="25">
        <f>BK18*Assumptions!$H$93+BK22*Assumptions!$H$97</f>
        <v/>
      </c>
      <c r="BL29" s="25">
        <f>BL18*Assumptions!$H$93+BL22*Assumptions!$H$97</f>
        <v/>
      </c>
      <c r="BM29" s="25">
        <f>BM18*Assumptions!$H$93+BM22*Assumptions!$H$97</f>
        <v/>
      </c>
      <c r="BN29" s="25">
        <f>BN18*Assumptions!$H$93+BN22*Assumptions!$H$97</f>
        <v/>
      </c>
      <c r="BO29" s="25">
        <f>BO18*Assumptions!$H$93+BO22*Assumptions!$H$97</f>
        <v/>
      </c>
      <c r="BP29" s="25">
        <f>BP18*Assumptions!$H$93+BP22*Assumptions!$H$97</f>
        <v/>
      </c>
      <c r="BQ29" s="25">
        <f>BQ18*Assumptions!$H$93+BQ22*Assumptions!$H$97</f>
        <v/>
      </c>
      <c r="BR29" s="25">
        <f>BR18*Assumptions!$H$93+BR22*Assumptions!$H$97</f>
        <v/>
      </c>
      <c r="BS29" s="25">
        <f>BS18*Assumptions!$H$93+BS22*Assumptions!$H$97</f>
        <v/>
      </c>
      <c r="BT29" s="25">
        <f>BT18*Assumptions!$H$93+BT22*Assumptions!$H$97</f>
        <v/>
      </c>
      <c r="BU29" s="25">
        <f>BU18*Assumptions!$H$93+BU22*Assumptions!$H$97</f>
        <v/>
      </c>
      <c r="BV29" s="25">
        <f>BV18*Assumptions!$H$93+BV22*Assumptions!$H$97</f>
        <v/>
      </c>
      <c r="BW29" s="25">
        <f>BW18*Assumptions!$H$93+BW22*Assumptions!$H$97</f>
        <v/>
      </c>
      <c r="BX29" s="25">
        <f>BX18*Assumptions!$H$93+BX22*Assumptions!$H$97</f>
        <v/>
      </c>
      <c r="BY29" s="25">
        <f>BY18*Assumptions!$H$93+BY22*Assumptions!$H$97</f>
        <v/>
      </c>
      <c r="BZ29" s="25">
        <f>BZ18*Assumptions!$H$93+BZ22*Assumptions!$H$97</f>
        <v/>
      </c>
      <c r="CA29" s="25">
        <f>CA18*Assumptions!$H$93+CA22*Assumptions!$H$97</f>
        <v/>
      </c>
      <c r="CB29" s="25">
        <f>CB18*Assumptions!$H$93+CB22*Assumptions!$H$97</f>
        <v/>
      </c>
      <c r="CC29" s="25">
        <f>CC18*Assumptions!$H$93+CC22*Assumptions!$H$97</f>
        <v/>
      </c>
      <c r="CD29" s="25">
        <f>CD18*Assumptions!$H$93+CD22*Assumptions!$H$97</f>
        <v/>
      </c>
      <c r="CE29" s="25">
        <f>CE18*Assumptions!$H$93+CE22*Assumptions!$H$97</f>
        <v/>
      </c>
      <c r="CF29" s="25">
        <f>CF18*Assumptions!$H$93+CF22*Assumptions!$H$97</f>
        <v/>
      </c>
      <c r="CG29" s="25">
        <f>CG18*Assumptions!$H$93+CG22*Assumptions!$H$97</f>
        <v/>
      </c>
      <c r="CH29" s="25">
        <f>CH18*Assumptions!$H$93+CH22*Assumptions!$H$97</f>
        <v/>
      </c>
      <c r="CI29" s="25">
        <f>CI18*Assumptions!$H$93+CI22*Assumptions!$H$97</f>
        <v/>
      </c>
      <c r="CJ29" s="25">
        <f>CJ18*Assumptions!$H$93+CJ22*Assumptions!$H$97</f>
        <v/>
      </c>
      <c r="CK29" s="25">
        <f>CK18*Assumptions!$H$93+CK22*Assumptions!$H$97</f>
        <v/>
      </c>
      <c r="CL29" s="25">
        <f>CL18*Assumptions!$H$93+CL22*Assumptions!$H$97</f>
        <v/>
      </c>
      <c r="CM29" s="25">
        <f>CM18*Assumptions!$H$93+CM22*Assumptions!$H$97</f>
        <v/>
      </c>
      <c r="CN29" s="25">
        <f>CN18*Assumptions!$H$93+CN22*Assumptions!$H$97</f>
        <v/>
      </c>
      <c r="CO29" s="25">
        <f>CO18*Assumptions!$H$93+CO22*Assumptions!$H$97</f>
        <v/>
      </c>
      <c r="CP29" s="25">
        <f>CP18*Assumptions!$H$93+CP22*Assumptions!$H$97</f>
        <v/>
      </c>
      <c r="CQ29" s="25">
        <f>CQ18*Assumptions!$H$93+CQ22*Assumptions!$H$97</f>
        <v/>
      </c>
      <c r="CR29" s="25">
        <f>CR18*Assumptions!$H$93+CR22*Assumptions!$H$97</f>
        <v/>
      </c>
      <c r="CS29" s="25">
        <f>CS18*Assumptions!$H$93+CS22*Assumptions!$H$97</f>
        <v/>
      </c>
      <c r="CT29" s="25">
        <f>CT18*Assumptions!$H$93+CT22*Assumptions!$H$97</f>
        <v/>
      </c>
      <c r="CU29" s="25">
        <f>CU18*Assumptions!$H$93+CU22*Assumptions!$H$97</f>
        <v/>
      </c>
      <c r="CV29" s="25">
        <f>CV18*Assumptions!$H$93+CV22*Assumptions!$H$97</f>
        <v/>
      </c>
      <c r="CW29" s="25">
        <f>CW18*Assumptions!$H$93+CW22*Assumptions!$H$97</f>
        <v/>
      </c>
      <c r="CX29" s="25">
        <f>CX18*Assumptions!$H$93+CX22*Assumptions!$H$97</f>
        <v/>
      </c>
      <c r="CY29" s="25">
        <f>CY18*Assumptions!$H$93+CY22*Assumptions!$H$97</f>
        <v/>
      </c>
      <c r="CZ29" s="25">
        <f>CZ18*Assumptions!$H$93+CZ22*Assumptions!$H$97</f>
        <v/>
      </c>
      <c r="DA29" s="25">
        <f>DA18*Assumptions!$H$93+DA22*Assumptions!$H$97</f>
        <v/>
      </c>
      <c r="DB29" s="25">
        <f>DB18*Assumptions!$H$93+DB22*Assumptions!$H$97</f>
        <v/>
      </c>
      <c r="DC29" s="25">
        <f>DC18*Assumptions!$H$93+DC22*Assumptions!$H$97</f>
        <v/>
      </c>
      <c r="DD29" s="25">
        <f>DD18*Assumptions!$H$93+DD22*Assumptions!$H$97</f>
        <v/>
      </c>
      <c r="DE29" s="25">
        <f>DE18*Assumptions!$H$93+DE22*Assumptions!$H$97</f>
        <v/>
      </c>
      <c r="DF29" s="25">
        <f>DF18*Assumptions!$H$93+DF22*Assumptions!$H$97</f>
        <v/>
      </c>
      <c r="DG29" s="25">
        <f>DG18*Assumptions!$H$93+DG22*Assumptions!$H$97</f>
        <v/>
      </c>
      <c r="DH29" s="25">
        <f>DH18*Assumptions!$H$93+DH22*Assumptions!$H$97</f>
        <v/>
      </c>
      <c r="DI29" s="25">
        <f>DI18*Assumptions!$H$93+DI22*Assumptions!$H$97</f>
        <v/>
      </c>
      <c r="DJ29" s="25">
        <f>DJ18*Assumptions!$H$93+DJ22*Assumptions!$H$97</f>
        <v/>
      </c>
      <c r="DK29" s="25">
        <f>DK18*Assumptions!$H$93+DK22*Assumptions!$H$97</f>
        <v/>
      </c>
      <c r="DL29" s="25">
        <f>DL18*Assumptions!$H$93+DL22*Assumptions!$H$97</f>
        <v/>
      </c>
      <c r="DM29" s="25">
        <f>DM18*Assumptions!$H$93+DM22*Assumptions!$H$97</f>
        <v/>
      </c>
      <c r="DN29" s="25">
        <f>DN18*Assumptions!$H$93+DN22*Assumptions!$H$97</f>
        <v/>
      </c>
      <c r="DO29" s="25">
        <f>DO18*Assumptions!$H$93+DO22*Assumptions!$H$97</f>
        <v/>
      </c>
      <c r="DP29" s="25">
        <f>DP18*Assumptions!$H$93+DP22*Assumptions!$H$97</f>
        <v/>
      </c>
      <c r="DQ29" s="25">
        <f>DQ18*Assumptions!$H$93+DQ22*Assumptions!$H$97</f>
        <v/>
      </c>
      <c r="DR29" s="25">
        <f>DR18*Assumptions!$H$93+DR22*Assumptions!$H$97</f>
        <v/>
      </c>
      <c r="DS29" s="25">
        <f>DS18*Assumptions!$H$93+DS22*Assumptions!$H$97</f>
        <v/>
      </c>
    </row>
    <row r="30">
      <c r="A30" s="2" t="inlineStr">
        <is>
          <t>GT_DEMAND</t>
        </is>
      </c>
      <c r="B30" s="6" t="inlineStr">
        <is>
          <t>Feed demand</t>
        </is>
      </c>
      <c r="C30" s="2" t="inlineStr">
        <is>
          <t>kg DM</t>
        </is>
      </c>
      <c r="D30" s="25">
        <f>((D18+D22)*Assumptions!$H$105+D20*Assumptions!$H$109)*30.42</f>
        <v/>
      </c>
      <c r="E30" s="25">
        <f>((E18+E22)*Assumptions!$H$105+E20*Assumptions!$H$109)*30.42</f>
        <v/>
      </c>
      <c r="F30" s="25">
        <f>((F18+F22)*Assumptions!$H$105+F20*Assumptions!$H$109)*30.42</f>
        <v/>
      </c>
      <c r="G30" s="25">
        <f>((G18+G22)*Assumptions!$H$105+G20*Assumptions!$H$109)*30.42</f>
        <v/>
      </c>
      <c r="H30" s="25">
        <f>((H18+H22)*Assumptions!$H$105+H20*Assumptions!$H$109)*30.42</f>
        <v/>
      </c>
      <c r="I30" s="25">
        <f>((I18+I22)*Assumptions!$H$105+I20*Assumptions!$H$109)*30.42</f>
        <v/>
      </c>
      <c r="J30" s="25">
        <f>((J18+J22)*Assumptions!$H$105+J20*Assumptions!$H$109)*30.42</f>
        <v/>
      </c>
      <c r="K30" s="25">
        <f>((K18+K22)*Assumptions!$H$105+K20*Assumptions!$H$109)*30.42</f>
        <v/>
      </c>
      <c r="L30" s="25">
        <f>((L18+L22)*Assumptions!$H$105+L20*Assumptions!$H$109)*30.42</f>
        <v/>
      </c>
      <c r="M30" s="25">
        <f>((M18+M22)*Assumptions!$H$105+M20*Assumptions!$H$109)*30.42</f>
        <v/>
      </c>
      <c r="N30" s="25">
        <f>((N18+N22)*Assumptions!$H$105+N20*Assumptions!$H$109)*30.42</f>
        <v/>
      </c>
      <c r="O30" s="25">
        <f>((O18+O22)*Assumptions!$H$105+O20*Assumptions!$H$109)*30.42</f>
        <v/>
      </c>
      <c r="P30" s="25">
        <f>((P18+P22)*Assumptions!$H$105+P20*Assumptions!$H$109)*30.42</f>
        <v/>
      </c>
      <c r="Q30" s="25">
        <f>((Q18+Q22)*Assumptions!$H$105+Q20*Assumptions!$H$109)*30.42</f>
        <v/>
      </c>
      <c r="R30" s="25">
        <f>((R18+R22)*Assumptions!$H$105+R20*Assumptions!$H$109)*30.42</f>
        <v/>
      </c>
      <c r="S30" s="25">
        <f>((S18+S22)*Assumptions!$H$105+S20*Assumptions!$H$109)*30.42</f>
        <v/>
      </c>
      <c r="T30" s="25">
        <f>((T18+T22)*Assumptions!$H$105+T20*Assumptions!$H$109)*30.42</f>
        <v/>
      </c>
      <c r="U30" s="25">
        <f>((U18+U22)*Assumptions!$H$105+U20*Assumptions!$H$109)*30.42</f>
        <v/>
      </c>
      <c r="V30" s="25">
        <f>((V18+V22)*Assumptions!$H$105+V20*Assumptions!$H$109)*30.42</f>
        <v/>
      </c>
      <c r="W30" s="25">
        <f>((W18+W22)*Assumptions!$H$105+W20*Assumptions!$H$109)*30.42</f>
        <v/>
      </c>
      <c r="X30" s="25">
        <f>((X18+X22)*Assumptions!$H$105+X20*Assumptions!$H$109)*30.42</f>
        <v/>
      </c>
      <c r="Y30" s="25">
        <f>((Y18+Y22)*Assumptions!$H$105+Y20*Assumptions!$H$109)*30.42</f>
        <v/>
      </c>
      <c r="Z30" s="25">
        <f>((Z18+Z22)*Assumptions!$H$105+Z20*Assumptions!$H$109)*30.42</f>
        <v/>
      </c>
      <c r="AA30" s="25">
        <f>((AA18+AA22)*Assumptions!$H$105+AA20*Assumptions!$H$109)*30.42</f>
        <v/>
      </c>
      <c r="AB30" s="25">
        <f>((AB18+AB22)*Assumptions!$H$105+AB20*Assumptions!$H$109)*30.42</f>
        <v/>
      </c>
      <c r="AC30" s="25">
        <f>((AC18+AC22)*Assumptions!$H$105+AC20*Assumptions!$H$109)*30.42</f>
        <v/>
      </c>
      <c r="AD30" s="25">
        <f>((AD18+AD22)*Assumptions!$H$105+AD20*Assumptions!$H$109)*30.42</f>
        <v/>
      </c>
      <c r="AE30" s="25">
        <f>((AE18+AE22)*Assumptions!$H$105+AE20*Assumptions!$H$109)*30.42</f>
        <v/>
      </c>
      <c r="AF30" s="25">
        <f>((AF18+AF22)*Assumptions!$H$105+AF20*Assumptions!$H$109)*30.42</f>
        <v/>
      </c>
      <c r="AG30" s="25">
        <f>((AG18+AG22)*Assumptions!$H$105+AG20*Assumptions!$H$109)*30.42</f>
        <v/>
      </c>
      <c r="AH30" s="25">
        <f>((AH18+AH22)*Assumptions!$H$105+AH20*Assumptions!$H$109)*30.42</f>
        <v/>
      </c>
      <c r="AI30" s="25">
        <f>((AI18+AI22)*Assumptions!$H$105+AI20*Assumptions!$H$109)*30.42</f>
        <v/>
      </c>
      <c r="AJ30" s="25">
        <f>((AJ18+AJ22)*Assumptions!$H$105+AJ20*Assumptions!$H$109)*30.42</f>
        <v/>
      </c>
      <c r="AK30" s="25">
        <f>((AK18+AK22)*Assumptions!$H$105+AK20*Assumptions!$H$109)*30.42</f>
        <v/>
      </c>
      <c r="AL30" s="25">
        <f>((AL18+AL22)*Assumptions!$H$105+AL20*Assumptions!$H$109)*30.42</f>
        <v/>
      </c>
      <c r="AM30" s="25">
        <f>((AM18+AM22)*Assumptions!$H$105+AM20*Assumptions!$H$109)*30.42</f>
        <v/>
      </c>
      <c r="AN30" s="25">
        <f>((AN18+AN22)*Assumptions!$H$105+AN20*Assumptions!$H$109)*30.42</f>
        <v/>
      </c>
      <c r="AO30" s="25">
        <f>((AO18+AO22)*Assumptions!$H$105+AO20*Assumptions!$H$109)*30.42</f>
        <v/>
      </c>
      <c r="AP30" s="25">
        <f>((AP18+AP22)*Assumptions!$H$105+AP20*Assumptions!$H$109)*30.42</f>
        <v/>
      </c>
      <c r="AQ30" s="25">
        <f>((AQ18+AQ22)*Assumptions!$H$105+AQ20*Assumptions!$H$109)*30.42</f>
        <v/>
      </c>
      <c r="AR30" s="25">
        <f>((AR18+AR22)*Assumptions!$H$105+AR20*Assumptions!$H$109)*30.42</f>
        <v/>
      </c>
      <c r="AS30" s="25">
        <f>((AS18+AS22)*Assumptions!$H$105+AS20*Assumptions!$H$109)*30.42</f>
        <v/>
      </c>
      <c r="AT30" s="25">
        <f>((AT18+AT22)*Assumptions!$H$105+AT20*Assumptions!$H$109)*30.42</f>
        <v/>
      </c>
      <c r="AU30" s="25">
        <f>((AU18+AU22)*Assumptions!$H$105+AU20*Assumptions!$H$109)*30.42</f>
        <v/>
      </c>
      <c r="AV30" s="25">
        <f>((AV18+AV22)*Assumptions!$H$105+AV20*Assumptions!$H$109)*30.42</f>
        <v/>
      </c>
      <c r="AW30" s="25">
        <f>((AW18+AW22)*Assumptions!$H$105+AW20*Assumptions!$H$109)*30.42</f>
        <v/>
      </c>
      <c r="AX30" s="25">
        <f>((AX18+AX22)*Assumptions!$H$105+AX20*Assumptions!$H$109)*30.42</f>
        <v/>
      </c>
      <c r="AY30" s="25">
        <f>((AY18+AY22)*Assumptions!$H$105+AY20*Assumptions!$H$109)*30.42</f>
        <v/>
      </c>
      <c r="AZ30" s="25">
        <f>((AZ18+AZ22)*Assumptions!$H$105+AZ20*Assumptions!$H$109)*30.42</f>
        <v/>
      </c>
      <c r="BA30" s="25">
        <f>((BA18+BA22)*Assumptions!$H$105+BA20*Assumptions!$H$109)*30.42</f>
        <v/>
      </c>
      <c r="BB30" s="25">
        <f>((BB18+BB22)*Assumptions!$H$105+BB20*Assumptions!$H$109)*30.42</f>
        <v/>
      </c>
      <c r="BC30" s="25">
        <f>((BC18+BC22)*Assumptions!$H$105+BC20*Assumptions!$H$109)*30.42</f>
        <v/>
      </c>
      <c r="BD30" s="25">
        <f>((BD18+BD22)*Assumptions!$H$105+BD20*Assumptions!$H$109)*30.42</f>
        <v/>
      </c>
      <c r="BE30" s="25">
        <f>((BE18+BE22)*Assumptions!$H$105+BE20*Assumptions!$H$109)*30.42</f>
        <v/>
      </c>
      <c r="BF30" s="25">
        <f>((BF18+BF22)*Assumptions!$H$105+BF20*Assumptions!$H$109)*30.42</f>
        <v/>
      </c>
      <c r="BG30" s="25">
        <f>((BG18+BG22)*Assumptions!$H$105+BG20*Assumptions!$H$109)*30.42</f>
        <v/>
      </c>
      <c r="BH30" s="25">
        <f>((BH18+BH22)*Assumptions!$H$105+BH20*Assumptions!$H$109)*30.42</f>
        <v/>
      </c>
      <c r="BI30" s="25">
        <f>((BI18+BI22)*Assumptions!$H$105+BI20*Assumptions!$H$109)*30.42</f>
        <v/>
      </c>
      <c r="BJ30" s="25">
        <f>((BJ18+BJ22)*Assumptions!$H$105+BJ20*Assumptions!$H$109)*30.42</f>
        <v/>
      </c>
      <c r="BK30" s="25">
        <f>((BK18+BK22)*Assumptions!$H$105+BK20*Assumptions!$H$109)*30.42</f>
        <v/>
      </c>
      <c r="BL30" s="25">
        <f>((BL18+BL22)*Assumptions!$H$105+BL20*Assumptions!$H$109)*30.42</f>
        <v/>
      </c>
      <c r="BM30" s="25">
        <f>((BM18+BM22)*Assumptions!$H$105+BM20*Assumptions!$H$109)*30.42</f>
        <v/>
      </c>
      <c r="BN30" s="25">
        <f>((BN18+BN22)*Assumptions!$H$105+BN20*Assumptions!$H$109)*30.42</f>
        <v/>
      </c>
      <c r="BO30" s="25">
        <f>((BO18+BO22)*Assumptions!$H$105+BO20*Assumptions!$H$109)*30.42</f>
        <v/>
      </c>
      <c r="BP30" s="25">
        <f>((BP18+BP22)*Assumptions!$H$105+BP20*Assumptions!$H$109)*30.42</f>
        <v/>
      </c>
      <c r="BQ30" s="25">
        <f>((BQ18+BQ22)*Assumptions!$H$105+BQ20*Assumptions!$H$109)*30.42</f>
        <v/>
      </c>
      <c r="BR30" s="25">
        <f>((BR18+BR22)*Assumptions!$H$105+BR20*Assumptions!$H$109)*30.42</f>
        <v/>
      </c>
      <c r="BS30" s="25">
        <f>((BS18+BS22)*Assumptions!$H$105+BS20*Assumptions!$H$109)*30.42</f>
        <v/>
      </c>
      <c r="BT30" s="25">
        <f>((BT18+BT22)*Assumptions!$H$105+BT20*Assumptions!$H$109)*30.42</f>
        <v/>
      </c>
      <c r="BU30" s="25">
        <f>((BU18+BU22)*Assumptions!$H$105+BU20*Assumptions!$H$109)*30.42</f>
        <v/>
      </c>
      <c r="BV30" s="25">
        <f>((BV18+BV22)*Assumptions!$H$105+BV20*Assumptions!$H$109)*30.42</f>
        <v/>
      </c>
      <c r="BW30" s="25">
        <f>((BW18+BW22)*Assumptions!$H$105+BW20*Assumptions!$H$109)*30.42</f>
        <v/>
      </c>
      <c r="BX30" s="25">
        <f>((BX18+BX22)*Assumptions!$H$105+BX20*Assumptions!$H$109)*30.42</f>
        <v/>
      </c>
      <c r="BY30" s="25">
        <f>((BY18+BY22)*Assumptions!$H$105+BY20*Assumptions!$H$109)*30.42</f>
        <v/>
      </c>
      <c r="BZ30" s="25">
        <f>((BZ18+BZ22)*Assumptions!$H$105+BZ20*Assumptions!$H$109)*30.42</f>
        <v/>
      </c>
      <c r="CA30" s="25">
        <f>((CA18+CA22)*Assumptions!$H$105+CA20*Assumptions!$H$109)*30.42</f>
        <v/>
      </c>
      <c r="CB30" s="25">
        <f>((CB18+CB22)*Assumptions!$H$105+CB20*Assumptions!$H$109)*30.42</f>
        <v/>
      </c>
      <c r="CC30" s="25">
        <f>((CC18+CC22)*Assumptions!$H$105+CC20*Assumptions!$H$109)*30.42</f>
        <v/>
      </c>
      <c r="CD30" s="25">
        <f>((CD18+CD22)*Assumptions!$H$105+CD20*Assumptions!$H$109)*30.42</f>
        <v/>
      </c>
      <c r="CE30" s="25">
        <f>((CE18+CE22)*Assumptions!$H$105+CE20*Assumptions!$H$109)*30.42</f>
        <v/>
      </c>
      <c r="CF30" s="25">
        <f>((CF18+CF22)*Assumptions!$H$105+CF20*Assumptions!$H$109)*30.42</f>
        <v/>
      </c>
      <c r="CG30" s="25">
        <f>((CG18+CG22)*Assumptions!$H$105+CG20*Assumptions!$H$109)*30.42</f>
        <v/>
      </c>
      <c r="CH30" s="25">
        <f>((CH18+CH22)*Assumptions!$H$105+CH20*Assumptions!$H$109)*30.42</f>
        <v/>
      </c>
      <c r="CI30" s="25">
        <f>((CI18+CI22)*Assumptions!$H$105+CI20*Assumptions!$H$109)*30.42</f>
        <v/>
      </c>
      <c r="CJ30" s="25">
        <f>((CJ18+CJ22)*Assumptions!$H$105+CJ20*Assumptions!$H$109)*30.42</f>
        <v/>
      </c>
      <c r="CK30" s="25">
        <f>((CK18+CK22)*Assumptions!$H$105+CK20*Assumptions!$H$109)*30.42</f>
        <v/>
      </c>
      <c r="CL30" s="25">
        <f>((CL18+CL22)*Assumptions!$H$105+CL20*Assumptions!$H$109)*30.42</f>
        <v/>
      </c>
      <c r="CM30" s="25">
        <f>((CM18+CM22)*Assumptions!$H$105+CM20*Assumptions!$H$109)*30.42</f>
        <v/>
      </c>
      <c r="CN30" s="25">
        <f>((CN18+CN22)*Assumptions!$H$105+CN20*Assumptions!$H$109)*30.42</f>
        <v/>
      </c>
      <c r="CO30" s="25">
        <f>((CO18+CO22)*Assumptions!$H$105+CO20*Assumptions!$H$109)*30.42</f>
        <v/>
      </c>
      <c r="CP30" s="25">
        <f>((CP18+CP22)*Assumptions!$H$105+CP20*Assumptions!$H$109)*30.42</f>
        <v/>
      </c>
      <c r="CQ30" s="25">
        <f>((CQ18+CQ22)*Assumptions!$H$105+CQ20*Assumptions!$H$109)*30.42</f>
        <v/>
      </c>
      <c r="CR30" s="25">
        <f>((CR18+CR22)*Assumptions!$H$105+CR20*Assumptions!$H$109)*30.42</f>
        <v/>
      </c>
      <c r="CS30" s="25">
        <f>((CS18+CS22)*Assumptions!$H$105+CS20*Assumptions!$H$109)*30.42</f>
        <v/>
      </c>
      <c r="CT30" s="25">
        <f>((CT18+CT22)*Assumptions!$H$105+CT20*Assumptions!$H$109)*30.42</f>
        <v/>
      </c>
      <c r="CU30" s="25">
        <f>((CU18+CU22)*Assumptions!$H$105+CU20*Assumptions!$H$109)*30.42</f>
        <v/>
      </c>
      <c r="CV30" s="25">
        <f>((CV18+CV22)*Assumptions!$H$105+CV20*Assumptions!$H$109)*30.42</f>
        <v/>
      </c>
      <c r="CW30" s="25">
        <f>((CW18+CW22)*Assumptions!$H$105+CW20*Assumptions!$H$109)*30.42</f>
        <v/>
      </c>
      <c r="CX30" s="25">
        <f>((CX18+CX22)*Assumptions!$H$105+CX20*Assumptions!$H$109)*30.42</f>
        <v/>
      </c>
      <c r="CY30" s="25">
        <f>((CY18+CY22)*Assumptions!$H$105+CY20*Assumptions!$H$109)*30.42</f>
        <v/>
      </c>
      <c r="CZ30" s="25">
        <f>((CZ18+CZ22)*Assumptions!$H$105+CZ20*Assumptions!$H$109)*30.42</f>
        <v/>
      </c>
      <c r="DA30" s="25">
        <f>((DA18+DA22)*Assumptions!$H$105+DA20*Assumptions!$H$109)*30.42</f>
        <v/>
      </c>
      <c r="DB30" s="25">
        <f>((DB18+DB22)*Assumptions!$H$105+DB20*Assumptions!$H$109)*30.42</f>
        <v/>
      </c>
      <c r="DC30" s="25">
        <f>((DC18+DC22)*Assumptions!$H$105+DC20*Assumptions!$H$109)*30.42</f>
        <v/>
      </c>
      <c r="DD30" s="25">
        <f>((DD18+DD22)*Assumptions!$H$105+DD20*Assumptions!$H$109)*30.42</f>
        <v/>
      </c>
      <c r="DE30" s="25">
        <f>((DE18+DE22)*Assumptions!$H$105+DE20*Assumptions!$H$109)*30.42</f>
        <v/>
      </c>
      <c r="DF30" s="25">
        <f>((DF18+DF22)*Assumptions!$H$105+DF20*Assumptions!$H$109)*30.42</f>
        <v/>
      </c>
      <c r="DG30" s="25">
        <f>((DG18+DG22)*Assumptions!$H$105+DG20*Assumptions!$H$109)*30.42</f>
        <v/>
      </c>
      <c r="DH30" s="25">
        <f>((DH18+DH22)*Assumptions!$H$105+DH20*Assumptions!$H$109)*30.42</f>
        <v/>
      </c>
      <c r="DI30" s="25">
        <f>((DI18+DI22)*Assumptions!$H$105+DI20*Assumptions!$H$109)*30.42</f>
        <v/>
      </c>
      <c r="DJ30" s="25">
        <f>((DJ18+DJ22)*Assumptions!$H$105+DJ20*Assumptions!$H$109)*30.42</f>
        <v/>
      </c>
      <c r="DK30" s="25">
        <f>((DK18+DK22)*Assumptions!$H$105+DK20*Assumptions!$H$109)*30.42</f>
        <v/>
      </c>
      <c r="DL30" s="25">
        <f>((DL18+DL22)*Assumptions!$H$105+DL20*Assumptions!$H$109)*30.42</f>
        <v/>
      </c>
      <c r="DM30" s="25">
        <f>((DM18+DM22)*Assumptions!$H$105+DM20*Assumptions!$H$109)*30.42</f>
        <v/>
      </c>
      <c r="DN30" s="25">
        <f>((DN18+DN22)*Assumptions!$H$105+DN20*Assumptions!$H$109)*30.42</f>
        <v/>
      </c>
      <c r="DO30" s="25">
        <f>((DO18+DO22)*Assumptions!$H$105+DO20*Assumptions!$H$109)*30.42</f>
        <v/>
      </c>
      <c r="DP30" s="25">
        <f>((DP18+DP22)*Assumptions!$H$105+DP20*Assumptions!$H$109)*30.42</f>
        <v/>
      </c>
      <c r="DQ30" s="25">
        <f>((DQ18+DQ22)*Assumptions!$H$105+DQ20*Assumptions!$H$109)*30.42</f>
        <v/>
      </c>
      <c r="DR30" s="25">
        <f>((DR18+DR22)*Assumptions!$H$105+DR20*Assumptions!$H$109)*30.42</f>
        <v/>
      </c>
      <c r="DS30" s="25">
        <f>((DS18+DS22)*Assumptions!$H$105+DS20*Assumptions!$H$109)*30.42</f>
        <v/>
      </c>
    </row>
    <row r="32">
      <c r="A32" s="11" t="n"/>
      <c r="B32" s="12" t="inlineStr">
        <is>
          <t>Sheep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  <c r="AR32" s="11" t="n"/>
      <c r="AS32" s="11" t="n"/>
      <c r="AT32" s="11" t="n"/>
      <c r="AU32" s="11" t="n"/>
      <c r="AV32" s="11" t="n"/>
      <c r="AW32" s="11" t="n"/>
      <c r="AX32" s="11" t="n"/>
      <c r="AY32" s="11" t="n"/>
      <c r="AZ32" s="11" t="n"/>
      <c r="BA32" s="11" t="n"/>
      <c r="BB32" s="11" t="n"/>
      <c r="BC32" s="11" t="n"/>
      <c r="BD32" s="11" t="n"/>
      <c r="BE32" s="11" t="n"/>
      <c r="BF32" s="11" t="n"/>
      <c r="BG32" s="11" t="n"/>
      <c r="BH32" s="11" t="n"/>
      <c r="BI32" s="11" t="n"/>
      <c r="BJ32" s="11" t="n"/>
      <c r="BK32" s="11" t="n"/>
      <c r="BL32" s="11" t="n"/>
      <c r="BM32" s="11" t="n"/>
      <c r="BN32" s="11" t="n"/>
      <c r="BO32" s="11" t="n"/>
      <c r="BP32" s="11" t="n"/>
      <c r="BQ32" s="11" t="n"/>
      <c r="BR32" s="11" t="n"/>
      <c r="BS32" s="11" t="n"/>
      <c r="BT32" s="11" t="n"/>
      <c r="BU32" s="11" t="n"/>
      <c r="BV32" s="11" t="n"/>
      <c r="BW32" s="11" t="n"/>
      <c r="BX32" s="11" t="n"/>
      <c r="BY32" s="11" t="n"/>
      <c r="BZ32" s="11" t="n"/>
      <c r="CA32" s="11" t="n"/>
      <c r="CB32" s="11" t="n"/>
      <c r="CC32" s="11" t="n"/>
      <c r="CD32" s="11" t="n"/>
      <c r="CE32" s="11" t="n"/>
      <c r="CF32" s="11" t="n"/>
      <c r="CG32" s="11" t="n"/>
      <c r="CH32" s="11" t="n"/>
      <c r="CI32" s="11" t="n"/>
      <c r="CJ32" s="11" t="n"/>
      <c r="CK32" s="11" t="n"/>
      <c r="CL32" s="11" t="n"/>
      <c r="CM32" s="11" t="n"/>
      <c r="CN32" s="11" t="n"/>
      <c r="CO32" s="11" t="n"/>
      <c r="CP32" s="11" t="n"/>
      <c r="CQ32" s="11" t="n"/>
      <c r="CR32" s="11" t="n"/>
      <c r="CS32" s="11" t="n"/>
      <c r="CT32" s="11" t="n"/>
      <c r="CU32" s="11" t="n"/>
      <c r="CV32" s="11" t="n"/>
      <c r="CW32" s="11" t="n"/>
      <c r="CX32" s="11" t="n"/>
      <c r="CY32" s="11" t="n"/>
      <c r="CZ32" s="11" t="n"/>
      <c r="DA32" s="11" t="n"/>
      <c r="DB32" s="11" t="n"/>
      <c r="DC32" s="11" t="n"/>
      <c r="DD32" s="11" t="n"/>
      <c r="DE32" s="11" t="n"/>
      <c r="DF32" s="11" t="n"/>
      <c r="DG32" s="11" t="n"/>
      <c r="DH32" s="11" t="n"/>
      <c r="DI32" s="11" t="n"/>
      <c r="DJ32" s="11" t="n"/>
      <c r="DK32" s="11" t="n"/>
      <c r="DL32" s="11" t="n"/>
      <c r="DM32" s="11" t="n"/>
      <c r="DN32" s="11" t="n"/>
      <c r="DO32" s="11" t="n"/>
      <c r="DP32" s="11" t="n"/>
      <c r="DQ32" s="11" t="n"/>
      <c r="DR32" s="11" t="n"/>
      <c r="DS32" s="11" t="n"/>
    </row>
    <row r="33">
      <c r="A33" s="2" t="inlineStr">
        <is>
          <t>SH_FBUY</t>
        </is>
      </c>
      <c r="B33" s="6" t="inlineStr">
        <is>
          <t>Breeding females bought</t>
        </is>
      </c>
      <c r="C33" s="2" t="inlineStr">
        <is>
          <t>head</t>
        </is>
      </c>
      <c r="D33" s="29">
        <f>IF(D$3=Models!$H$28,Models!$H$29,0)+IF(D$3=Models!$H$31,Models!$H$32,0)</f>
        <v/>
      </c>
      <c r="E33" s="29">
        <f>IF(E$3=Models!$H$28,Models!$H$29,0)+IF(E$3=Models!$H$31,Models!$H$32,0)</f>
        <v/>
      </c>
      <c r="F33" s="29">
        <f>IF(F$3=Models!$H$28,Models!$H$29,0)+IF(F$3=Models!$H$31,Models!$H$32,0)</f>
        <v/>
      </c>
      <c r="G33" s="29">
        <f>IF(G$3=Models!$H$28,Models!$H$29,0)+IF(G$3=Models!$H$31,Models!$H$32,0)</f>
        <v/>
      </c>
      <c r="H33" s="29">
        <f>IF(H$3=Models!$H$28,Models!$H$29,0)+IF(H$3=Models!$H$31,Models!$H$32,0)</f>
        <v/>
      </c>
      <c r="I33" s="29">
        <f>IF(I$3=Models!$H$28,Models!$H$29,0)+IF(I$3=Models!$H$31,Models!$H$32,0)</f>
        <v/>
      </c>
      <c r="J33" s="29">
        <f>IF(J$3=Models!$H$28,Models!$H$29,0)+IF(J$3=Models!$H$31,Models!$H$32,0)</f>
        <v/>
      </c>
      <c r="K33" s="29">
        <f>IF(K$3=Models!$H$28,Models!$H$29,0)+IF(K$3=Models!$H$31,Models!$H$32,0)</f>
        <v/>
      </c>
      <c r="L33" s="29">
        <f>IF(L$3=Models!$H$28,Models!$H$29,0)+IF(L$3=Models!$H$31,Models!$H$32,0)</f>
        <v/>
      </c>
      <c r="M33" s="29">
        <f>IF(M$3=Models!$H$28,Models!$H$29,0)+IF(M$3=Models!$H$31,Models!$H$32,0)</f>
        <v/>
      </c>
      <c r="N33" s="29">
        <f>IF(N$3=Models!$H$28,Models!$H$29,0)+IF(N$3=Models!$H$31,Models!$H$32,0)</f>
        <v/>
      </c>
      <c r="O33" s="29">
        <f>IF(O$3=Models!$H$28,Models!$H$29,0)+IF(O$3=Models!$H$31,Models!$H$32,0)</f>
        <v/>
      </c>
      <c r="P33" s="29">
        <f>IF(P$3=Models!$H$28,Models!$H$29,0)+IF(P$3=Models!$H$31,Models!$H$32,0)</f>
        <v/>
      </c>
      <c r="Q33" s="29">
        <f>IF(Q$3=Models!$H$28,Models!$H$29,0)+IF(Q$3=Models!$H$31,Models!$H$32,0)</f>
        <v/>
      </c>
      <c r="R33" s="29">
        <f>IF(R$3=Models!$H$28,Models!$H$29,0)+IF(R$3=Models!$H$31,Models!$H$32,0)</f>
        <v/>
      </c>
      <c r="S33" s="29">
        <f>IF(S$3=Models!$H$28,Models!$H$29,0)+IF(S$3=Models!$H$31,Models!$H$32,0)</f>
        <v/>
      </c>
      <c r="T33" s="29">
        <f>IF(T$3=Models!$H$28,Models!$H$29,0)+IF(T$3=Models!$H$31,Models!$H$32,0)</f>
        <v/>
      </c>
      <c r="U33" s="29">
        <f>IF(U$3=Models!$H$28,Models!$H$29,0)+IF(U$3=Models!$H$31,Models!$H$32,0)</f>
        <v/>
      </c>
      <c r="V33" s="29">
        <f>IF(V$3=Models!$H$28,Models!$H$29,0)+IF(V$3=Models!$H$31,Models!$H$32,0)</f>
        <v/>
      </c>
      <c r="W33" s="29">
        <f>IF(W$3=Models!$H$28,Models!$H$29,0)+IF(W$3=Models!$H$31,Models!$H$32,0)</f>
        <v/>
      </c>
      <c r="X33" s="29">
        <f>IF(X$3=Models!$H$28,Models!$H$29,0)+IF(X$3=Models!$H$31,Models!$H$32,0)</f>
        <v/>
      </c>
      <c r="Y33" s="29">
        <f>IF(Y$3=Models!$H$28,Models!$H$29,0)+IF(Y$3=Models!$H$31,Models!$H$32,0)</f>
        <v/>
      </c>
      <c r="Z33" s="29">
        <f>IF(Z$3=Models!$H$28,Models!$H$29,0)+IF(Z$3=Models!$H$31,Models!$H$32,0)</f>
        <v/>
      </c>
      <c r="AA33" s="29">
        <f>IF(AA$3=Models!$H$28,Models!$H$29,0)+IF(AA$3=Models!$H$31,Models!$H$32,0)</f>
        <v/>
      </c>
      <c r="AB33" s="29">
        <f>IF(AB$3=Models!$H$28,Models!$H$29,0)+IF(AB$3=Models!$H$31,Models!$H$32,0)</f>
        <v/>
      </c>
      <c r="AC33" s="29">
        <f>IF(AC$3=Models!$H$28,Models!$H$29,0)+IF(AC$3=Models!$H$31,Models!$H$32,0)</f>
        <v/>
      </c>
      <c r="AD33" s="29">
        <f>IF(AD$3=Models!$H$28,Models!$H$29,0)+IF(AD$3=Models!$H$31,Models!$H$32,0)</f>
        <v/>
      </c>
      <c r="AE33" s="29">
        <f>IF(AE$3=Models!$H$28,Models!$H$29,0)+IF(AE$3=Models!$H$31,Models!$H$32,0)</f>
        <v/>
      </c>
      <c r="AF33" s="29">
        <f>IF(AF$3=Models!$H$28,Models!$H$29,0)+IF(AF$3=Models!$H$31,Models!$H$32,0)</f>
        <v/>
      </c>
      <c r="AG33" s="29">
        <f>IF(AG$3=Models!$H$28,Models!$H$29,0)+IF(AG$3=Models!$H$31,Models!$H$32,0)</f>
        <v/>
      </c>
      <c r="AH33" s="29">
        <f>IF(AH$3=Models!$H$28,Models!$H$29,0)+IF(AH$3=Models!$H$31,Models!$H$32,0)</f>
        <v/>
      </c>
      <c r="AI33" s="29">
        <f>IF(AI$3=Models!$H$28,Models!$H$29,0)+IF(AI$3=Models!$H$31,Models!$H$32,0)</f>
        <v/>
      </c>
      <c r="AJ33" s="29">
        <f>IF(AJ$3=Models!$H$28,Models!$H$29,0)+IF(AJ$3=Models!$H$31,Models!$H$32,0)</f>
        <v/>
      </c>
      <c r="AK33" s="29">
        <f>IF(AK$3=Models!$H$28,Models!$H$29,0)+IF(AK$3=Models!$H$31,Models!$H$32,0)</f>
        <v/>
      </c>
      <c r="AL33" s="29">
        <f>IF(AL$3=Models!$H$28,Models!$H$29,0)+IF(AL$3=Models!$H$31,Models!$H$32,0)</f>
        <v/>
      </c>
      <c r="AM33" s="29">
        <f>IF(AM$3=Models!$H$28,Models!$H$29,0)+IF(AM$3=Models!$H$31,Models!$H$32,0)</f>
        <v/>
      </c>
      <c r="AN33" s="29">
        <f>IF(AN$3=Models!$H$28,Models!$H$29,0)+IF(AN$3=Models!$H$31,Models!$H$32,0)</f>
        <v/>
      </c>
      <c r="AO33" s="29">
        <f>IF(AO$3=Models!$H$28,Models!$H$29,0)+IF(AO$3=Models!$H$31,Models!$H$32,0)</f>
        <v/>
      </c>
      <c r="AP33" s="29">
        <f>IF(AP$3=Models!$H$28,Models!$H$29,0)+IF(AP$3=Models!$H$31,Models!$H$32,0)</f>
        <v/>
      </c>
      <c r="AQ33" s="29">
        <f>IF(AQ$3=Models!$H$28,Models!$H$29,0)+IF(AQ$3=Models!$H$31,Models!$H$32,0)</f>
        <v/>
      </c>
      <c r="AR33" s="29">
        <f>IF(AR$3=Models!$H$28,Models!$H$29,0)+IF(AR$3=Models!$H$31,Models!$H$32,0)</f>
        <v/>
      </c>
      <c r="AS33" s="29">
        <f>IF(AS$3=Models!$H$28,Models!$H$29,0)+IF(AS$3=Models!$H$31,Models!$H$32,0)</f>
        <v/>
      </c>
      <c r="AT33" s="29">
        <f>IF(AT$3=Models!$H$28,Models!$H$29,0)+IF(AT$3=Models!$H$31,Models!$H$32,0)</f>
        <v/>
      </c>
      <c r="AU33" s="29">
        <f>IF(AU$3=Models!$H$28,Models!$H$29,0)+IF(AU$3=Models!$H$31,Models!$H$32,0)</f>
        <v/>
      </c>
      <c r="AV33" s="29">
        <f>IF(AV$3=Models!$H$28,Models!$H$29,0)+IF(AV$3=Models!$H$31,Models!$H$32,0)</f>
        <v/>
      </c>
      <c r="AW33" s="29">
        <f>IF(AW$3=Models!$H$28,Models!$H$29,0)+IF(AW$3=Models!$H$31,Models!$H$32,0)</f>
        <v/>
      </c>
      <c r="AX33" s="29">
        <f>IF(AX$3=Models!$H$28,Models!$H$29,0)+IF(AX$3=Models!$H$31,Models!$H$32,0)</f>
        <v/>
      </c>
      <c r="AY33" s="29">
        <f>IF(AY$3=Models!$H$28,Models!$H$29,0)+IF(AY$3=Models!$H$31,Models!$H$32,0)</f>
        <v/>
      </c>
      <c r="AZ33" s="29">
        <f>IF(AZ$3=Models!$H$28,Models!$H$29,0)+IF(AZ$3=Models!$H$31,Models!$H$32,0)</f>
        <v/>
      </c>
      <c r="BA33" s="29">
        <f>IF(BA$3=Models!$H$28,Models!$H$29,0)+IF(BA$3=Models!$H$31,Models!$H$32,0)</f>
        <v/>
      </c>
      <c r="BB33" s="29">
        <f>IF(BB$3=Models!$H$28,Models!$H$29,0)+IF(BB$3=Models!$H$31,Models!$H$32,0)</f>
        <v/>
      </c>
      <c r="BC33" s="29">
        <f>IF(BC$3=Models!$H$28,Models!$H$29,0)+IF(BC$3=Models!$H$31,Models!$H$32,0)</f>
        <v/>
      </c>
      <c r="BD33" s="29">
        <f>IF(BD$3=Models!$H$28,Models!$H$29,0)+IF(BD$3=Models!$H$31,Models!$H$32,0)</f>
        <v/>
      </c>
      <c r="BE33" s="29">
        <f>IF(BE$3=Models!$H$28,Models!$H$29,0)+IF(BE$3=Models!$H$31,Models!$H$32,0)</f>
        <v/>
      </c>
      <c r="BF33" s="29">
        <f>IF(BF$3=Models!$H$28,Models!$H$29,0)+IF(BF$3=Models!$H$31,Models!$H$32,0)</f>
        <v/>
      </c>
      <c r="BG33" s="29">
        <f>IF(BG$3=Models!$H$28,Models!$H$29,0)+IF(BG$3=Models!$H$31,Models!$H$32,0)</f>
        <v/>
      </c>
      <c r="BH33" s="29">
        <f>IF(BH$3=Models!$H$28,Models!$H$29,0)+IF(BH$3=Models!$H$31,Models!$H$32,0)</f>
        <v/>
      </c>
      <c r="BI33" s="29">
        <f>IF(BI$3=Models!$H$28,Models!$H$29,0)+IF(BI$3=Models!$H$31,Models!$H$32,0)</f>
        <v/>
      </c>
      <c r="BJ33" s="29">
        <f>IF(BJ$3=Models!$H$28,Models!$H$29,0)+IF(BJ$3=Models!$H$31,Models!$H$32,0)</f>
        <v/>
      </c>
      <c r="BK33" s="29">
        <f>IF(BK$3=Models!$H$28,Models!$H$29,0)+IF(BK$3=Models!$H$31,Models!$H$32,0)</f>
        <v/>
      </c>
      <c r="BL33" s="29">
        <f>IF(BL$3=Models!$H$28,Models!$H$29,0)+IF(BL$3=Models!$H$31,Models!$H$32,0)</f>
        <v/>
      </c>
      <c r="BM33" s="29">
        <f>IF(BM$3=Models!$H$28,Models!$H$29,0)+IF(BM$3=Models!$H$31,Models!$H$32,0)</f>
        <v/>
      </c>
      <c r="BN33" s="29">
        <f>IF(BN$3=Models!$H$28,Models!$H$29,0)+IF(BN$3=Models!$H$31,Models!$H$32,0)</f>
        <v/>
      </c>
      <c r="BO33" s="29">
        <f>IF(BO$3=Models!$H$28,Models!$H$29,0)+IF(BO$3=Models!$H$31,Models!$H$32,0)</f>
        <v/>
      </c>
      <c r="BP33" s="29">
        <f>IF(BP$3=Models!$H$28,Models!$H$29,0)+IF(BP$3=Models!$H$31,Models!$H$32,0)</f>
        <v/>
      </c>
      <c r="BQ33" s="29">
        <f>IF(BQ$3=Models!$H$28,Models!$H$29,0)+IF(BQ$3=Models!$H$31,Models!$H$32,0)</f>
        <v/>
      </c>
      <c r="BR33" s="29">
        <f>IF(BR$3=Models!$H$28,Models!$H$29,0)+IF(BR$3=Models!$H$31,Models!$H$32,0)</f>
        <v/>
      </c>
      <c r="BS33" s="29">
        <f>IF(BS$3=Models!$H$28,Models!$H$29,0)+IF(BS$3=Models!$H$31,Models!$H$32,0)</f>
        <v/>
      </c>
      <c r="BT33" s="29">
        <f>IF(BT$3=Models!$H$28,Models!$H$29,0)+IF(BT$3=Models!$H$31,Models!$H$32,0)</f>
        <v/>
      </c>
      <c r="BU33" s="29">
        <f>IF(BU$3=Models!$H$28,Models!$H$29,0)+IF(BU$3=Models!$H$31,Models!$H$32,0)</f>
        <v/>
      </c>
      <c r="BV33" s="29">
        <f>IF(BV$3=Models!$H$28,Models!$H$29,0)+IF(BV$3=Models!$H$31,Models!$H$32,0)</f>
        <v/>
      </c>
      <c r="BW33" s="29">
        <f>IF(BW$3=Models!$H$28,Models!$H$29,0)+IF(BW$3=Models!$H$31,Models!$H$32,0)</f>
        <v/>
      </c>
      <c r="BX33" s="29">
        <f>IF(BX$3=Models!$H$28,Models!$H$29,0)+IF(BX$3=Models!$H$31,Models!$H$32,0)</f>
        <v/>
      </c>
      <c r="BY33" s="29">
        <f>IF(BY$3=Models!$H$28,Models!$H$29,0)+IF(BY$3=Models!$H$31,Models!$H$32,0)</f>
        <v/>
      </c>
      <c r="BZ33" s="29">
        <f>IF(BZ$3=Models!$H$28,Models!$H$29,0)+IF(BZ$3=Models!$H$31,Models!$H$32,0)</f>
        <v/>
      </c>
      <c r="CA33" s="29">
        <f>IF(CA$3=Models!$H$28,Models!$H$29,0)+IF(CA$3=Models!$H$31,Models!$H$32,0)</f>
        <v/>
      </c>
      <c r="CB33" s="29">
        <f>IF(CB$3=Models!$H$28,Models!$H$29,0)+IF(CB$3=Models!$H$31,Models!$H$32,0)</f>
        <v/>
      </c>
      <c r="CC33" s="29">
        <f>IF(CC$3=Models!$H$28,Models!$H$29,0)+IF(CC$3=Models!$H$31,Models!$H$32,0)</f>
        <v/>
      </c>
      <c r="CD33" s="29">
        <f>IF(CD$3=Models!$H$28,Models!$H$29,0)+IF(CD$3=Models!$H$31,Models!$H$32,0)</f>
        <v/>
      </c>
      <c r="CE33" s="29">
        <f>IF(CE$3=Models!$H$28,Models!$H$29,0)+IF(CE$3=Models!$H$31,Models!$H$32,0)</f>
        <v/>
      </c>
      <c r="CF33" s="29">
        <f>IF(CF$3=Models!$H$28,Models!$H$29,0)+IF(CF$3=Models!$H$31,Models!$H$32,0)</f>
        <v/>
      </c>
      <c r="CG33" s="29">
        <f>IF(CG$3=Models!$H$28,Models!$H$29,0)+IF(CG$3=Models!$H$31,Models!$H$32,0)</f>
        <v/>
      </c>
      <c r="CH33" s="29">
        <f>IF(CH$3=Models!$H$28,Models!$H$29,0)+IF(CH$3=Models!$H$31,Models!$H$32,0)</f>
        <v/>
      </c>
      <c r="CI33" s="29">
        <f>IF(CI$3=Models!$H$28,Models!$H$29,0)+IF(CI$3=Models!$H$31,Models!$H$32,0)</f>
        <v/>
      </c>
      <c r="CJ33" s="29">
        <f>IF(CJ$3=Models!$H$28,Models!$H$29,0)+IF(CJ$3=Models!$H$31,Models!$H$32,0)</f>
        <v/>
      </c>
      <c r="CK33" s="29">
        <f>IF(CK$3=Models!$H$28,Models!$H$29,0)+IF(CK$3=Models!$H$31,Models!$H$32,0)</f>
        <v/>
      </c>
      <c r="CL33" s="29">
        <f>IF(CL$3=Models!$H$28,Models!$H$29,0)+IF(CL$3=Models!$H$31,Models!$H$32,0)</f>
        <v/>
      </c>
      <c r="CM33" s="29">
        <f>IF(CM$3=Models!$H$28,Models!$H$29,0)+IF(CM$3=Models!$H$31,Models!$H$32,0)</f>
        <v/>
      </c>
      <c r="CN33" s="29">
        <f>IF(CN$3=Models!$H$28,Models!$H$29,0)+IF(CN$3=Models!$H$31,Models!$H$32,0)</f>
        <v/>
      </c>
      <c r="CO33" s="29">
        <f>IF(CO$3=Models!$H$28,Models!$H$29,0)+IF(CO$3=Models!$H$31,Models!$H$32,0)</f>
        <v/>
      </c>
      <c r="CP33" s="29">
        <f>IF(CP$3=Models!$H$28,Models!$H$29,0)+IF(CP$3=Models!$H$31,Models!$H$32,0)</f>
        <v/>
      </c>
      <c r="CQ33" s="29">
        <f>IF(CQ$3=Models!$H$28,Models!$H$29,0)+IF(CQ$3=Models!$H$31,Models!$H$32,0)</f>
        <v/>
      </c>
      <c r="CR33" s="29">
        <f>IF(CR$3=Models!$H$28,Models!$H$29,0)+IF(CR$3=Models!$H$31,Models!$H$32,0)</f>
        <v/>
      </c>
      <c r="CS33" s="29">
        <f>IF(CS$3=Models!$H$28,Models!$H$29,0)+IF(CS$3=Models!$H$31,Models!$H$32,0)</f>
        <v/>
      </c>
      <c r="CT33" s="29">
        <f>IF(CT$3=Models!$H$28,Models!$H$29,0)+IF(CT$3=Models!$H$31,Models!$H$32,0)</f>
        <v/>
      </c>
      <c r="CU33" s="29">
        <f>IF(CU$3=Models!$H$28,Models!$H$29,0)+IF(CU$3=Models!$H$31,Models!$H$32,0)</f>
        <v/>
      </c>
      <c r="CV33" s="29">
        <f>IF(CV$3=Models!$H$28,Models!$H$29,0)+IF(CV$3=Models!$H$31,Models!$H$32,0)</f>
        <v/>
      </c>
      <c r="CW33" s="29">
        <f>IF(CW$3=Models!$H$28,Models!$H$29,0)+IF(CW$3=Models!$H$31,Models!$H$32,0)</f>
        <v/>
      </c>
      <c r="CX33" s="29">
        <f>IF(CX$3=Models!$H$28,Models!$H$29,0)+IF(CX$3=Models!$H$31,Models!$H$32,0)</f>
        <v/>
      </c>
      <c r="CY33" s="29">
        <f>IF(CY$3=Models!$H$28,Models!$H$29,0)+IF(CY$3=Models!$H$31,Models!$H$32,0)</f>
        <v/>
      </c>
      <c r="CZ33" s="29">
        <f>IF(CZ$3=Models!$H$28,Models!$H$29,0)+IF(CZ$3=Models!$H$31,Models!$H$32,0)</f>
        <v/>
      </c>
      <c r="DA33" s="29">
        <f>IF(DA$3=Models!$H$28,Models!$H$29,0)+IF(DA$3=Models!$H$31,Models!$H$32,0)</f>
        <v/>
      </c>
      <c r="DB33" s="29">
        <f>IF(DB$3=Models!$H$28,Models!$H$29,0)+IF(DB$3=Models!$H$31,Models!$H$32,0)</f>
        <v/>
      </c>
      <c r="DC33" s="29">
        <f>IF(DC$3=Models!$H$28,Models!$H$29,0)+IF(DC$3=Models!$H$31,Models!$H$32,0)</f>
        <v/>
      </c>
      <c r="DD33" s="29">
        <f>IF(DD$3=Models!$H$28,Models!$H$29,0)+IF(DD$3=Models!$H$31,Models!$H$32,0)</f>
        <v/>
      </c>
      <c r="DE33" s="29">
        <f>IF(DE$3=Models!$H$28,Models!$H$29,0)+IF(DE$3=Models!$H$31,Models!$H$32,0)</f>
        <v/>
      </c>
      <c r="DF33" s="29">
        <f>IF(DF$3=Models!$H$28,Models!$H$29,0)+IF(DF$3=Models!$H$31,Models!$H$32,0)</f>
        <v/>
      </c>
      <c r="DG33" s="29">
        <f>IF(DG$3=Models!$H$28,Models!$H$29,0)+IF(DG$3=Models!$H$31,Models!$H$32,0)</f>
        <v/>
      </c>
      <c r="DH33" s="29">
        <f>IF(DH$3=Models!$H$28,Models!$H$29,0)+IF(DH$3=Models!$H$31,Models!$H$32,0)</f>
        <v/>
      </c>
      <c r="DI33" s="29">
        <f>IF(DI$3=Models!$H$28,Models!$H$29,0)+IF(DI$3=Models!$H$31,Models!$H$32,0)</f>
        <v/>
      </c>
      <c r="DJ33" s="29">
        <f>IF(DJ$3=Models!$H$28,Models!$H$29,0)+IF(DJ$3=Models!$H$31,Models!$H$32,0)</f>
        <v/>
      </c>
      <c r="DK33" s="29">
        <f>IF(DK$3=Models!$H$28,Models!$H$29,0)+IF(DK$3=Models!$H$31,Models!$H$32,0)</f>
        <v/>
      </c>
      <c r="DL33" s="29">
        <f>IF(DL$3=Models!$H$28,Models!$H$29,0)+IF(DL$3=Models!$H$31,Models!$H$32,0)</f>
        <v/>
      </c>
      <c r="DM33" s="29">
        <f>IF(DM$3=Models!$H$28,Models!$H$29,0)+IF(DM$3=Models!$H$31,Models!$H$32,0)</f>
        <v/>
      </c>
      <c r="DN33" s="29">
        <f>IF(DN$3=Models!$H$28,Models!$H$29,0)+IF(DN$3=Models!$H$31,Models!$H$32,0)</f>
        <v/>
      </c>
      <c r="DO33" s="29">
        <f>IF(DO$3=Models!$H$28,Models!$H$29,0)+IF(DO$3=Models!$H$31,Models!$H$32,0)</f>
        <v/>
      </c>
      <c r="DP33" s="29">
        <f>IF(DP$3=Models!$H$28,Models!$H$29,0)+IF(DP$3=Models!$H$31,Models!$H$32,0)</f>
        <v/>
      </c>
      <c r="DQ33" s="29">
        <f>IF(DQ$3=Models!$H$28,Models!$H$29,0)+IF(DQ$3=Models!$H$31,Models!$H$32,0)</f>
        <v/>
      </c>
      <c r="DR33" s="29">
        <f>IF(DR$3=Models!$H$28,Models!$H$29,0)+IF(DR$3=Models!$H$31,Models!$H$32,0)</f>
        <v/>
      </c>
      <c r="DS33" s="29">
        <f>IF(DS$3=Models!$H$28,Models!$H$29,0)+IF(DS$3=Models!$H$31,Models!$H$32,0)</f>
        <v/>
      </c>
    </row>
    <row r="34">
      <c r="A34" s="2" t="inlineStr">
        <is>
          <t>SH_MBUYT</t>
        </is>
      </c>
      <c r="B34" s="6" t="inlineStr">
        <is>
          <t>Breeding males bought in tranches</t>
        </is>
      </c>
      <c r="C34" s="2" t="inlineStr">
        <is>
          <t>head</t>
        </is>
      </c>
      <c r="D34" s="29">
        <f>IF(D$3=Models!$H$28,Models!$H$30,0)+IF(D$3=Models!$H$31,Models!$H$33,0)</f>
        <v/>
      </c>
      <c r="E34" s="29">
        <f>IF(E$3=Models!$H$28,Models!$H$30,0)+IF(E$3=Models!$H$31,Models!$H$33,0)</f>
        <v/>
      </c>
      <c r="F34" s="29">
        <f>IF(F$3=Models!$H$28,Models!$H$30,0)+IF(F$3=Models!$H$31,Models!$H$33,0)</f>
        <v/>
      </c>
      <c r="G34" s="29">
        <f>IF(G$3=Models!$H$28,Models!$H$30,0)+IF(G$3=Models!$H$31,Models!$H$33,0)</f>
        <v/>
      </c>
      <c r="H34" s="29">
        <f>IF(H$3=Models!$H$28,Models!$H$30,0)+IF(H$3=Models!$H$31,Models!$H$33,0)</f>
        <v/>
      </c>
      <c r="I34" s="29">
        <f>IF(I$3=Models!$H$28,Models!$H$30,0)+IF(I$3=Models!$H$31,Models!$H$33,0)</f>
        <v/>
      </c>
      <c r="J34" s="29">
        <f>IF(J$3=Models!$H$28,Models!$H$30,0)+IF(J$3=Models!$H$31,Models!$H$33,0)</f>
        <v/>
      </c>
      <c r="K34" s="29">
        <f>IF(K$3=Models!$H$28,Models!$H$30,0)+IF(K$3=Models!$H$31,Models!$H$33,0)</f>
        <v/>
      </c>
      <c r="L34" s="29">
        <f>IF(L$3=Models!$H$28,Models!$H$30,0)+IF(L$3=Models!$H$31,Models!$H$33,0)</f>
        <v/>
      </c>
      <c r="M34" s="29">
        <f>IF(M$3=Models!$H$28,Models!$H$30,0)+IF(M$3=Models!$H$31,Models!$H$33,0)</f>
        <v/>
      </c>
      <c r="N34" s="29">
        <f>IF(N$3=Models!$H$28,Models!$H$30,0)+IF(N$3=Models!$H$31,Models!$H$33,0)</f>
        <v/>
      </c>
      <c r="O34" s="29">
        <f>IF(O$3=Models!$H$28,Models!$H$30,0)+IF(O$3=Models!$H$31,Models!$H$33,0)</f>
        <v/>
      </c>
      <c r="P34" s="29">
        <f>IF(P$3=Models!$H$28,Models!$H$30,0)+IF(P$3=Models!$H$31,Models!$H$33,0)</f>
        <v/>
      </c>
      <c r="Q34" s="29">
        <f>IF(Q$3=Models!$H$28,Models!$H$30,0)+IF(Q$3=Models!$H$31,Models!$H$33,0)</f>
        <v/>
      </c>
      <c r="R34" s="29">
        <f>IF(R$3=Models!$H$28,Models!$H$30,0)+IF(R$3=Models!$H$31,Models!$H$33,0)</f>
        <v/>
      </c>
      <c r="S34" s="29">
        <f>IF(S$3=Models!$H$28,Models!$H$30,0)+IF(S$3=Models!$H$31,Models!$H$33,0)</f>
        <v/>
      </c>
      <c r="T34" s="29">
        <f>IF(T$3=Models!$H$28,Models!$H$30,0)+IF(T$3=Models!$H$31,Models!$H$33,0)</f>
        <v/>
      </c>
      <c r="U34" s="29">
        <f>IF(U$3=Models!$H$28,Models!$H$30,0)+IF(U$3=Models!$H$31,Models!$H$33,0)</f>
        <v/>
      </c>
      <c r="V34" s="29">
        <f>IF(V$3=Models!$H$28,Models!$H$30,0)+IF(V$3=Models!$H$31,Models!$H$33,0)</f>
        <v/>
      </c>
      <c r="W34" s="29">
        <f>IF(W$3=Models!$H$28,Models!$H$30,0)+IF(W$3=Models!$H$31,Models!$H$33,0)</f>
        <v/>
      </c>
      <c r="X34" s="29">
        <f>IF(X$3=Models!$H$28,Models!$H$30,0)+IF(X$3=Models!$H$31,Models!$H$33,0)</f>
        <v/>
      </c>
      <c r="Y34" s="29">
        <f>IF(Y$3=Models!$H$28,Models!$H$30,0)+IF(Y$3=Models!$H$31,Models!$H$33,0)</f>
        <v/>
      </c>
      <c r="Z34" s="29">
        <f>IF(Z$3=Models!$H$28,Models!$H$30,0)+IF(Z$3=Models!$H$31,Models!$H$33,0)</f>
        <v/>
      </c>
      <c r="AA34" s="29">
        <f>IF(AA$3=Models!$H$28,Models!$H$30,0)+IF(AA$3=Models!$H$31,Models!$H$33,0)</f>
        <v/>
      </c>
      <c r="AB34" s="29">
        <f>IF(AB$3=Models!$H$28,Models!$H$30,0)+IF(AB$3=Models!$H$31,Models!$H$33,0)</f>
        <v/>
      </c>
      <c r="AC34" s="29">
        <f>IF(AC$3=Models!$H$28,Models!$H$30,0)+IF(AC$3=Models!$H$31,Models!$H$33,0)</f>
        <v/>
      </c>
      <c r="AD34" s="29">
        <f>IF(AD$3=Models!$H$28,Models!$H$30,0)+IF(AD$3=Models!$H$31,Models!$H$33,0)</f>
        <v/>
      </c>
      <c r="AE34" s="29">
        <f>IF(AE$3=Models!$H$28,Models!$H$30,0)+IF(AE$3=Models!$H$31,Models!$H$33,0)</f>
        <v/>
      </c>
      <c r="AF34" s="29">
        <f>IF(AF$3=Models!$H$28,Models!$H$30,0)+IF(AF$3=Models!$H$31,Models!$H$33,0)</f>
        <v/>
      </c>
      <c r="AG34" s="29">
        <f>IF(AG$3=Models!$H$28,Models!$H$30,0)+IF(AG$3=Models!$H$31,Models!$H$33,0)</f>
        <v/>
      </c>
      <c r="AH34" s="29">
        <f>IF(AH$3=Models!$H$28,Models!$H$30,0)+IF(AH$3=Models!$H$31,Models!$H$33,0)</f>
        <v/>
      </c>
      <c r="AI34" s="29">
        <f>IF(AI$3=Models!$H$28,Models!$H$30,0)+IF(AI$3=Models!$H$31,Models!$H$33,0)</f>
        <v/>
      </c>
      <c r="AJ34" s="29">
        <f>IF(AJ$3=Models!$H$28,Models!$H$30,0)+IF(AJ$3=Models!$H$31,Models!$H$33,0)</f>
        <v/>
      </c>
      <c r="AK34" s="29">
        <f>IF(AK$3=Models!$H$28,Models!$H$30,0)+IF(AK$3=Models!$H$31,Models!$H$33,0)</f>
        <v/>
      </c>
      <c r="AL34" s="29">
        <f>IF(AL$3=Models!$H$28,Models!$H$30,0)+IF(AL$3=Models!$H$31,Models!$H$33,0)</f>
        <v/>
      </c>
      <c r="AM34" s="29">
        <f>IF(AM$3=Models!$H$28,Models!$H$30,0)+IF(AM$3=Models!$H$31,Models!$H$33,0)</f>
        <v/>
      </c>
      <c r="AN34" s="29">
        <f>IF(AN$3=Models!$H$28,Models!$H$30,0)+IF(AN$3=Models!$H$31,Models!$H$33,0)</f>
        <v/>
      </c>
      <c r="AO34" s="29">
        <f>IF(AO$3=Models!$H$28,Models!$H$30,0)+IF(AO$3=Models!$H$31,Models!$H$33,0)</f>
        <v/>
      </c>
      <c r="AP34" s="29">
        <f>IF(AP$3=Models!$H$28,Models!$H$30,0)+IF(AP$3=Models!$H$31,Models!$H$33,0)</f>
        <v/>
      </c>
      <c r="AQ34" s="29">
        <f>IF(AQ$3=Models!$H$28,Models!$H$30,0)+IF(AQ$3=Models!$H$31,Models!$H$33,0)</f>
        <v/>
      </c>
      <c r="AR34" s="29">
        <f>IF(AR$3=Models!$H$28,Models!$H$30,0)+IF(AR$3=Models!$H$31,Models!$H$33,0)</f>
        <v/>
      </c>
      <c r="AS34" s="29">
        <f>IF(AS$3=Models!$H$28,Models!$H$30,0)+IF(AS$3=Models!$H$31,Models!$H$33,0)</f>
        <v/>
      </c>
      <c r="AT34" s="29">
        <f>IF(AT$3=Models!$H$28,Models!$H$30,0)+IF(AT$3=Models!$H$31,Models!$H$33,0)</f>
        <v/>
      </c>
      <c r="AU34" s="29">
        <f>IF(AU$3=Models!$H$28,Models!$H$30,0)+IF(AU$3=Models!$H$31,Models!$H$33,0)</f>
        <v/>
      </c>
      <c r="AV34" s="29">
        <f>IF(AV$3=Models!$H$28,Models!$H$30,0)+IF(AV$3=Models!$H$31,Models!$H$33,0)</f>
        <v/>
      </c>
      <c r="AW34" s="29">
        <f>IF(AW$3=Models!$H$28,Models!$H$30,0)+IF(AW$3=Models!$H$31,Models!$H$33,0)</f>
        <v/>
      </c>
      <c r="AX34" s="29">
        <f>IF(AX$3=Models!$H$28,Models!$H$30,0)+IF(AX$3=Models!$H$31,Models!$H$33,0)</f>
        <v/>
      </c>
      <c r="AY34" s="29">
        <f>IF(AY$3=Models!$H$28,Models!$H$30,0)+IF(AY$3=Models!$H$31,Models!$H$33,0)</f>
        <v/>
      </c>
      <c r="AZ34" s="29">
        <f>IF(AZ$3=Models!$H$28,Models!$H$30,0)+IF(AZ$3=Models!$H$31,Models!$H$33,0)</f>
        <v/>
      </c>
      <c r="BA34" s="29">
        <f>IF(BA$3=Models!$H$28,Models!$H$30,0)+IF(BA$3=Models!$H$31,Models!$H$33,0)</f>
        <v/>
      </c>
      <c r="BB34" s="29">
        <f>IF(BB$3=Models!$H$28,Models!$H$30,0)+IF(BB$3=Models!$H$31,Models!$H$33,0)</f>
        <v/>
      </c>
      <c r="BC34" s="29">
        <f>IF(BC$3=Models!$H$28,Models!$H$30,0)+IF(BC$3=Models!$H$31,Models!$H$33,0)</f>
        <v/>
      </c>
      <c r="BD34" s="29">
        <f>IF(BD$3=Models!$H$28,Models!$H$30,0)+IF(BD$3=Models!$H$31,Models!$H$33,0)</f>
        <v/>
      </c>
      <c r="BE34" s="29">
        <f>IF(BE$3=Models!$H$28,Models!$H$30,0)+IF(BE$3=Models!$H$31,Models!$H$33,0)</f>
        <v/>
      </c>
      <c r="BF34" s="29">
        <f>IF(BF$3=Models!$H$28,Models!$H$30,0)+IF(BF$3=Models!$H$31,Models!$H$33,0)</f>
        <v/>
      </c>
      <c r="BG34" s="29">
        <f>IF(BG$3=Models!$H$28,Models!$H$30,0)+IF(BG$3=Models!$H$31,Models!$H$33,0)</f>
        <v/>
      </c>
      <c r="BH34" s="29">
        <f>IF(BH$3=Models!$H$28,Models!$H$30,0)+IF(BH$3=Models!$H$31,Models!$H$33,0)</f>
        <v/>
      </c>
      <c r="BI34" s="29">
        <f>IF(BI$3=Models!$H$28,Models!$H$30,0)+IF(BI$3=Models!$H$31,Models!$H$33,0)</f>
        <v/>
      </c>
      <c r="BJ34" s="29">
        <f>IF(BJ$3=Models!$H$28,Models!$H$30,0)+IF(BJ$3=Models!$H$31,Models!$H$33,0)</f>
        <v/>
      </c>
      <c r="BK34" s="29">
        <f>IF(BK$3=Models!$H$28,Models!$H$30,0)+IF(BK$3=Models!$H$31,Models!$H$33,0)</f>
        <v/>
      </c>
      <c r="BL34" s="29">
        <f>IF(BL$3=Models!$H$28,Models!$H$30,0)+IF(BL$3=Models!$H$31,Models!$H$33,0)</f>
        <v/>
      </c>
      <c r="BM34" s="29">
        <f>IF(BM$3=Models!$H$28,Models!$H$30,0)+IF(BM$3=Models!$H$31,Models!$H$33,0)</f>
        <v/>
      </c>
      <c r="BN34" s="29">
        <f>IF(BN$3=Models!$H$28,Models!$H$30,0)+IF(BN$3=Models!$H$31,Models!$H$33,0)</f>
        <v/>
      </c>
      <c r="BO34" s="29">
        <f>IF(BO$3=Models!$H$28,Models!$H$30,0)+IF(BO$3=Models!$H$31,Models!$H$33,0)</f>
        <v/>
      </c>
      <c r="BP34" s="29">
        <f>IF(BP$3=Models!$H$28,Models!$H$30,0)+IF(BP$3=Models!$H$31,Models!$H$33,0)</f>
        <v/>
      </c>
      <c r="BQ34" s="29">
        <f>IF(BQ$3=Models!$H$28,Models!$H$30,0)+IF(BQ$3=Models!$H$31,Models!$H$33,0)</f>
        <v/>
      </c>
      <c r="BR34" s="29">
        <f>IF(BR$3=Models!$H$28,Models!$H$30,0)+IF(BR$3=Models!$H$31,Models!$H$33,0)</f>
        <v/>
      </c>
      <c r="BS34" s="29">
        <f>IF(BS$3=Models!$H$28,Models!$H$30,0)+IF(BS$3=Models!$H$31,Models!$H$33,0)</f>
        <v/>
      </c>
      <c r="BT34" s="29">
        <f>IF(BT$3=Models!$H$28,Models!$H$30,0)+IF(BT$3=Models!$H$31,Models!$H$33,0)</f>
        <v/>
      </c>
      <c r="BU34" s="29">
        <f>IF(BU$3=Models!$H$28,Models!$H$30,0)+IF(BU$3=Models!$H$31,Models!$H$33,0)</f>
        <v/>
      </c>
      <c r="BV34" s="29">
        <f>IF(BV$3=Models!$H$28,Models!$H$30,0)+IF(BV$3=Models!$H$31,Models!$H$33,0)</f>
        <v/>
      </c>
      <c r="BW34" s="29">
        <f>IF(BW$3=Models!$H$28,Models!$H$30,0)+IF(BW$3=Models!$H$31,Models!$H$33,0)</f>
        <v/>
      </c>
      <c r="BX34" s="29">
        <f>IF(BX$3=Models!$H$28,Models!$H$30,0)+IF(BX$3=Models!$H$31,Models!$H$33,0)</f>
        <v/>
      </c>
      <c r="BY34" s="29">
        <f>IF(BY$3=Models!$H$28,Models!$H$30,0)+IF(BY$3=Models!$H$31,Models!$H$33,0)</f>
        <v/>
      </c>
      <c r="BZ34" s="29">
        <f>IF(BZ$3=Models!$H$28,Models!$H$30,0)+IF(BZ$3=Models!$H$31,Models!$H$33,0)</f>
        <v/>
      </c>
      <c r="CA34" s="29">
        <f>IF(CA$3=Models!$H$28,Models!$H$30,0)+IF(CA$3=Models!$H$31,Models!$H$33,0)</f>
        <v/>
      </c>
      <c r="CB34" s="29">
        <f>IF(CB$3=Models!$H$28,Models!$H$30,0)+IF(CB$3=Models!$H$31,Models!$H$33,0)</f>
        <v/>
      </c>
      <c r="CC34" s="29">
        <f>IF(CC$3=Models!$H$28,Models!$H$30,0)+IF(CC$3=Models!$H$31,Models!$H$33,0)</f>
        <v/>
      </c>
      <c r="CD34" s="29">
        <f>IF(CD$3=Models!$H$28,Models!$H$30,0)+IF(CD$3=Models!$H$31,Models!$H$33,0)</f>
        <v/>
      </c>
      <c r="CE34" s="29">
        <f>IF(CE$3=Models!$H$28,Models!$H$30,0)+IF(CE$3=Models!$H$31,Models!$H$33,0)</f>
        <v/>
      </c>
      <c r="CF34" s="29">
        <f>IF(CF$3=Models!$H$28,Models!$H$30,0)+IF(CF$3=Models!$H$31,Models!$H$33,0)</f>
        <v/>
      </c>
      <c r="CG34" s="29">
        <f>IF(CG$3=Models!$H$28,Models!$H$30,0)+IF(CG$3=Models!$H$31,Models!$H$33,0)</f>
        <v/>
      </c>
      <c r="CH34" s="29">
        <f>IF(CH$3=Models!$H$28,Models!$H$30,0)+IF(CH$3=Models!$H$31,Models!$H$33,0)</f>
        <v/>
      </c>
      <c r="CI34" s="29">
        <f>IF(CI$3=Models!$H$28,Models!$H$30,0)+IF(CI$3=Models!$H$31,Models!$H$33,0)</f>
        <v/>
      </c>
      <c r="CJ34" s="29">
        <f>IF(CJ$3=Models!$H$28,Models!$H$30,0)+IF(CJ$3=Models!$H$31,Models!$H$33,0)</f>
        <v/>
      </c>
      <c r="CK34" s="29">
        <f>IF(CK$3=Models!$H$28,Models!$H$30,0)+IF(CK$3=Models!$H$31,Models!$H$33,0)</f>
        <v/>
      </c>
      <c r="CL34" s="29">
        <f>IF(CL$3=Models!$H$28,Models!$H$30,0)+IF(CL$3=Models!$H$31,Models!$H$33,0)</f>
        <v/>
      </c>
      <c r="CM34" s="29">
        <f>IF(CM$3=Models!$H$28,Models!$H$30,0)+IF(CM$3=Models!$H$31,Models!$H$33,0)</f>
        <v/>
      </c>
      <c r="CN34" s="29">
        <f>IF(CN$3=Models!$H$28,Models!$H$30,0)+IF(CN$3=Models!$H$31,Models!$H$33,0)</f>
        <v/>
      </c>
      <c r="CO34" s="29">
        <f>IF(CO$3=Models!$H$28,Models!$H$30,0)+IF(CO$3=Models!$H$31,Models!$H$33,0)</f>
        <v/>
      </c>
      <c r="CP34" s="29">
        <f>IF(CP$3=Models!$H$28,Models!$H$30,0)+IF(CP$3=Models!$H$31,Models!$H$33,0)</f>
        <v/>
      </c>
      <c r="CQ34" s="29">
        <f>IF(CQ$3=Models!$H$28,Models!$H$30,0)+IF(CQ$3=Models!$H$31,Models!$H$33,0)</f>
        <v/>
      </c>
      <c r="CR34" s="29">
        <f>IF(CR$3=Models!$H$28,Models!$H$30,0)+IF(CR$3=Models!$H$31,Models!$H$33,0)</f>
        <v/>
      </c>
      <c r="CS34" s="29">
        <f>IF(CS$3=Models!$H$28,Models!$H$30,0)+IF(CS$3=Models!$H$31,Models!$H$33,0)</f>
        <v/>
      </c>
      <c r="CT34" s="29">
        <f>IF(CT$3=Models!$H$28,Models!$H$30,0)+IF(CT$3=Models!$H$31,Models!$H$33,0)</f>
        <v/>
      </c>
      <c r="CU34" s="29">
        <f>IF(CU$3=Models!$H$28,Models!$H$30,0)+IF(CU$3=Models!$H$31,Models!$H$33,0)</f>
        <v/>
      </c>
      <c r="CV34" s="29">
        <f>IF(CV$3=Models!$H$28,Models!$H$30,0)+IF(CV$3=Models!$H$31,Models!$H$33,0)</f>
        <v/>
      </c>
      <c r="CW34" s="29">
        <f>IF(CW$3=Models!$H$28,Models!$H$30,0)+IF(CW$3=Models!$H$31,Models!$H$33,0)</f>
        <v/>
      </c>
      <c r="CX34" s="29">
        <f>IF(CX$3=Models!$H$28,Models!$H$30,0)+IF(CX$3=Models!$H$31,Models!$H$33,0)</f>
        <v/>
      </c>
      <c r="CY34" s="29">
        <f>IF(CY$3=Models!$H$28,Models!$H$30,0)+IF(CY$3=Models!$H$31,Models!$H$33,0)</f>
        <v/>
      </c>
      <c r="CZ34" s="29">
        <f>IF(CZ$3=Models!$H$28,Models!$H$30,0)+IF(CZ$3=Models!$H$31,Models!$H$33,0)</f>
        <v/>
      </c>
      <c r="DA34" s="29">
        <f>IF(DA$3=Models!$H$28,Models!$H$30,0)+IF(DA$3=Models!$H$31,Models!$H$33,0)</f>
        <v/>
      </c>
      <c r="DB34" s="29">
        <f>IF(DB$3=Models!$H$28,Models!$H$30,0)+IF(DB$3=Models!$H$31,Models!$H$33,0)</f>
        <v/>
      </c>
      <c r="DC34" s="29">
        <f>IF(DC$3=Models!$H$28,Models!$H$30,0)+IF(DC$3=Models!$H$31,Models!$H$33,0)</f>
        <v/>
      </c>
      <c r="DD34" s="29">
        <f>IF(DD$3=Models!$H$28,Models!$H$30,0)+IF(DD$3=Models!$H$31,Models!$H$33,0)</f>
        <v/>
      </c>
      <c r="DE34" s="29">
        <f>IF(DE$3=Models!$H$28,Models!$H$30,0)+IF(DE$3=Models!$H$31,Models!$H$33,0)</f>
        <v/>
      </c>
      <c r="DF34" s="29">
        <f>IF(DF$3=Models!$H$28,Models!$H$30,0)+IF(DF$3=Models!$H$31,Models!$H$33,0)</f>
        <v/>
      </c>
      <c r="DG34" s="29">
        <f>IF(DG$3=Models!$H$28,Models!$H$30,0)+IF(DG$3=Models!$H$31,Models!$H$33,0)</f>
        <v/>
      </c>
      <c r="DH34" s="29">
        <f>IF(DH$3=Models!$H$28,Models!$H$30,0)+IF(DH$3=Models!$H$31,Models!$H$33,0)</f>
        <v/>
      </c>
      <c r="DI34" s="29">
        <f>IF(DI$3=Models!$H$28,Models!$H$30,0)+IF(DI$3=Models!$H$31,Models!$H$33,0)</f>
        <v/>
      </c>
      <c r="DJ34" s="29">
        <f>IF(DJ$3=Models!$H$28,Models!$H$30,0)+IF(DJ$3=Models!$H$31,Models!$H$33,0)</f>
        <v/>
      </c>
      <c r="DK34" s="29">
        <f>IF(DK$3=Models!$H$28,Models!$H$30,0)+IF(DK$3=Models!$H$31,Models!$H$33,0)</f>
        <v/>
      </c>
      <c r="DL34" s="29">
        <f>IF(DL$3=Models!$H$28,Models!$H$30,0)+IF(DL$3=Models!$H$31,Models!$H$33,0)</f>
        <v/>
      </c>
      <c r="DM34" s="29">
        <f>IF(DM$3=Models!$H$28,Models!$H$30,0)+IF(DM$3=Models!$H$31,Models!$H$33,0)</f>
        <v/>
      </c>
      <c r="DN34" s="29">
        <f>IF(DN$3=Models!$H$28,Models!$H$30,0)+IF(DN$3=Models!$H$31,Models!$H$33,0)</f>
        <v/>
      </c>
      <c r="DO34" s="29">
        <f>IF(DO$3=Models!$H$28,Models!$H$30,0)+IF(DO$3=Models!$H$31,Models!$H$33,0)</f>
        <v/>
      </c>
      <c r="DP34" s="29">
        <f>IF(DP$3=Models!$H$28,Models!$H$30,0)+IF(DP$3=Models!$H$31,Models!$H$33,0)</f>
        <v/>
      </c>
      <c r="DQ34" s="29">
        <f>IF(DQ$3=Models!$H$28,Models!$H$30,0)+IF(DQ$3=Models!$H$31,Models!$H$33,0)</f>
        <v/>
      </c>
      <c r="DR34" s="29">
        <f>IF(DR$3=Models!$H$28,Models!$H$30,0)+IF(DR$3=Models!$H$31,Models!$H$33,0)</f>
        <v/>
      </c>
      <c r="DS34" s="29">
        <f>IF(DS$3=Models!$H$28,Models!$H$30,0)+IF(DS$3=Models!$H$31,Models!$H$33,0)</f>
        <v/>
      </c>
    </row>
    <row r="35">
      <c r="A35" s="2" t="inlineStr">
        <is>
          <t>SH_FOPEN</t>
        </is>
      </c>
      <c r="B35" s="6" t="inlineStr">
        <is>
          <t>Breeding females, opening</t>
        </is>
      </c>
      <c r="C35" s="2" t="inlineStr">
        <is>
          <t>head</t>
        </is>
      </c>
      <c r="D35" s="29">
        <f>0</f>
        <v/>
      </c>
      <c r="E35" s="29">
        <f>D42</f>
        <v/>
      </c>
      <c r="F35" s="29">
        <f>E42</f>
        <v/>
      </c>
      <c r="G35" s="29">
        <f>F42</f>
        <v/>
      </c>
      <c r="H35" s="29">
        <f>G42</f>
        <v/>
      </c>
      <c r="I35" s="29">
        <f>H42</f>
        <v/>
      </c>
      <c r="J35" s="29">
        <f>I42</f>
        <v/>
      </c>
      <c r="K35" s="29">
        <f>J42</f>
        <v/>
      </c>
      <c r="L35" s="29">
        <f>K42</f>
        <v/>
      </c>
      <c r="M35" s="29">
        <f>L42</f>
        <v/>
      </c>
      <c r="N35" s="29">
        <f>M42</f>
        <v/>
      </c>
      <c r="O35" s="29">
        <f>N42</f>
        <v/>
      </c>
      <c r="P35" s="29">
        <f>O42</f>
        <v/>
      </c>
      <c r="Q35" s="29">
        <f>P42</f>
        <v/>
      </c>
      <c r="R35" s="29">
        <f>Q42</f>
        <v/>
      </c>
      <c r="S35" s="29">
        <f>R42</f>
        <v/>
      </c>
      <c r="T35" s="29">
        <f>S42</f>
        <v/>
      </c>
      <c r="U35" s="29">
        <f>T42</f>
        <v/>
      </c>
      <c r="V35" s="29">
        <f>U42</f>
        <v/>
      </c>
      <c r="W35" s="29">
        <f>V42</f>
        <v/>
      </c>
      <c r="X35" s="29">
        <f>W42</f>
        <v/>
      </c>
      <c r="Y35" s="29">
        <f>X42</f>
        <v/>
      </c>
      <c r="Z35" s="29">
        <f>Y42</f>
        <v/>
      </c>
      <c r="AA35" s="29">
        <f>Z42</f>
        <v/>
      </c>
      <c r="AB35" s="29">
        <f>AA42</f>
        <v/>
      </c>
      <c r="AC35" s="29">
        <f>AB42</f>
        <v/>
      </c>
      <c r="AD35" s="29">
        <f>AC42</f>
        <v/>
      </c>
      <c r="AE35" s="29">
        <f>AD42</f>
        <v/>
      </c>
      <c r="AF35" s="29">
        <f>AE42</f>
        <v/>
      </c>
      <c r="AG35" s="29">
        <f>AF42</f>
        <v/>
      </c>
      <c r="AH35" s="29">
        <f>AG42</f>
        <v/>
      </c>
      <c r="AI35" s="29">
        <f>AH42</f>
        <v/>
      </c>
      <c r="AJ35" s="29">
        <f>AI42</f>
        <v/>
      </c>
      <c r="AK35" s="29">
        <f>AJ42</f>
        <v/>
      </c>
      <c r="AL35" s="29">
        <f>AK42</f>
        <v/>
      </c>
      <c r="AM35" s="29">
        <f>AL42</f>
        <v/>
      </c>
      <c r="AN35" s="29">
        <f>AM42</f>
        <v/>
      </c>
      <c r="AO35" s="29">
        <f>AN42</f>
        <v/>
      </c>
      <c r="AP35" s="29">
        <f>AO42</f>
        <v/>
      </c>
      <c r="AQ35" s="29">
        <f>AP42</f>
        <v/>
      </c>
      <c r="AR35" s="29">
        <f>AQ42</f>
        <v/>
      </c>
      <c r="AS35" s="29">
        <f>AR42</f>
        <v/>
      </c>
      <c r="AT35" s="29">
        <f>AS42</f>
        <v/>
      </c>
      <c r="AU35" s="29">
        <f>AT42</f>
        <v/>
      </c>
      <c r="AV35" s="29">
        <f>AU42</f>
        <v/>
      </c>
      <c r="AW35" s="29">
        <f>AV42</f>
        <v/>
      </c>
      <c r="AX35" s="29">
        <f>AW42</f>
        <v/>
      </c>
      <c r="AY35" s="29">
        <f>AX42</f>
        <v/>
      </c>
      <c r="AZ35" s="29">
        <f>AY42</f>
        <v/>
      </c>
      <c r="BA35" s="29">
        <f>AZ42</f>
        <v/>
      </c>
      <c r="BB35" s="29">
        <f>BA42</f>
        <v/>
      </c>
      <c r="BC35" s="29">
        <f>BB42</f>
        <v/>
      </c>
      <c r="BD35" s="29">
        <f>BC42</f>
        <v/>
      </c>
      <c r="BE35" s="29">
        <f>BD42</f>
        <v/>
      </c>
      <c r="BF35" s="29">
        <f>BE42</f>
        <v/>
      </c>
      <c r="BG35" s="29">
        <f>BF42</f>
        <v/>
      </c>
      <c r="BH35" s="29">
        <f>BG42</f>
        <v/>
      </c>
      <c r="BI35" s="29">
        <f>BH42</f>
        <v/>
      </c>
      <c r="BJ35" s="29">
        <f>BI42</f>
        <v/>
      </c>
      <c r="BK35" s="29">
        <f>BJ42</f>
        <v/>
      </c>
      <c r="BL35" s="29">
        <f>BK42</f>
        <v/>
      </c>
      <c r="BM35" s="29">
        <f>BL42</f>
        <v/>
      </c>
      <c r="BN35" s="29">
        <f>BM42</f>
        <v/>
      </c>
      <c r="BO35" s="29">
        <f>BN42</f>
        <v/>
      </c>
      <c r="BP35" s="29">
        <f>BO42</f>
        <v/>
      </c>
      <c r="BQ35" s="29">
        <f>BP42</f>
        <v/>
      </c>
      <c r="BR35" s="29">
        <f>BQ42</f>
        <v/>
      </c>
      <c r="BS35" s="29">
        <f>BR42</f>
        <v/>
      </c>
      <c r="BT35" s="29">
        <f>BS42</f>
        <v/>
      </c>
      <c r="BU35" s="29">
        <f>BT42</f>
        <v/>
      </c>
      <c r="BV35" s="29">
        <f>BU42</f>
        <v/>
      </c>
      <c r="BW35" s="29">
        <f>BV42</f>
        <v/>
      </c>
      <c r="BX35" s="29">
        <f>BW42</f>
        <v/>
      </c>
      <c r="BY35" s="29">
        <f>BX42</f>
        <v/>
      </c>
      <c r="BZ35" s="29">
        <f>BY42</f>
        <v/>
      </c>
      <c r="CA35" s="29">
        <f>BZ42</f>
        <v/>
      </c>
      <c r="CB35" s="29">
        <f>CA42</f>
        <v/>
      </c>
      <c r="CC35" s="29">
        <f>CB42</f>
        <v/>
      </c>
      <c r="CD35" s="29">
        <f>CC42</f>
        <v/>
      </c>
      <c r="CE35" s="29">
        <f>CD42</f>
        <v/>
      </c>
      <c r="CF35" s="29">
        <f>CE42</f>
        <v/>
      </c>
      <c r="CG35" s="29">
        <f>CF42</f>
        <v/>
      </c>
      <c r="CH35" s="29">
        <f>CG42</f>
        <v/>
      </c>
      <c r="CI35" s="29">
        <f>CH42</f>
        <v/>
      </c>
      <c r="CJ35" s="29">
        <f>CI42</f>
        <v/>
      </c>
      <c r="CK35" s="29">
        <f>CJ42</f>
        <v/>
      </c>
      <c r="CL35" s="29">
        <f>CK42</f>
        <v/>
      </c>
      <c r="CM35" s="29">
        <f>CL42</f>
        <v/>
      </c>
      <c r="CN35" s="29">
        <f>CM42</f>
        <v/>
      </c>
      <c r="CO35" s="29">
        <f>CN42</f>
        <v/>
      </c>
      <c r="CP35" s="29">
        <f>CO42</f>
        <v/>
      </c>
      <c r="CQ35" s="29">
        <f>CP42</f>
        <v/>
      </c>
      <c r="CR35" s="29">
        <f>CQ42</f>
        <v/>
      </c>
      <c r="CS35" s="29">
        <f>CR42</f>
        <v/>
      </c>
      <c r="CT35" s="29">
        <f>CS42</f>
        <v/>
      </c>
      <c r="CU35" s="29">
        <f>CT42</f>
        <v/>
      </c>
      <c r="CV35" s="29">
        <f>CU42</f>
        <v/>
      </c>
      <c r="CW35" s="29">
        <f>CV42</f>
        <v/>
      </c>
      <c r="CX35" s="29">
        <f>CW42</f>
        <v/>
      </c>
      <c r="CY35" s="29">
        <f>CX42</f>
        <v/>
      </c>
      <c r="CZ35" s="29">
        <f>CY42</f>
        <v/>
      </c>
      <c r="DA35" s="29">
        <f>CZ42</f>
        <v/>
      </c>
      <c r="DB35" s="29">
        <f>DA42</f>
        <v/>
      </c>
      <c r="DC35" s="29">
        <f>DB42</f>
        <v/>
      </c>
      <c r="DD35" s="29">
        <f>DC42</f>
        <v/>
      </c>
      <c r="DE35" s="29">
        <f>DD42</f>
        <v/>
      </c>
      <c r="DF35" s="29">
        <f>DE42</f>
        <v/>
      </c>
      <c r="DG35" s="29">
        <f>DF42</f>
        <v/>
      </c>
      <c r="DH35" s="29">
        <f>DG42</f>
        <v/>
      </c>
      <c r="DI35" s="29">
        <f>DH42</f>
        <v/>
      </c>
      <c r="DJ35" s="29">
        <f>DI42</f>
        <v/>
      </c>
      <c r="DK35" s="29">
        <f>DJ42</f>
        <v/>
      </c>
      <c r="DL35" s="29">
        <f>DK42</f>
        <v/>
      </c>
      <c r="DM35" s="29">
        <f>DL42</f>
        <v/>
      </c>
      <c r="DN35" s="29">
        <f>DM42</f>
        <v/>
      </c>
      <c r="DO35" s="29">
        <f>DN42</f>
        <v/>
      </c>
      <c r="DP35" s="29">
        <f>DO42</f>
        <v/>
      </c>
      <c r="DQ35" s="29">
        <f>DP42</f>
        <v/>
      </c>
      <c r="DR35" s="29">
        <f>DQ42</f>
        <v/>
      </c>
      <c r="DS35" s="29">
        <f>DR42</f>
        <v/>
      </c>
    </row>
    <row r="36">
      <c r="A36" s="2" t="inlineStr">
        <is>
          <t>SH_FDEATH</t>
        </is>
      </c>
      <c r="B36" s="6" t="inlineStr">
        <is>
          <t>Female deaths</t>
        </is>
      </c>
      <c r="C36" s="2" t="inlineStr">
        <is>
          <t>head</t>
        </is>
      </c>
      <c r="D36" s="22">
        <f>D35*MIN(1,Assumptions!$H$75*Sensitivity!$C$8)/12</f>
        <v/>
      </c>
      <c r="E36" s="22">
        <f>E35*MIN(1,Assumptions!$H$75*Sensitivity!$C$8)/12</f>
        <v/>
      </c>
      <c r="F36" s="22">
        <f>F35*MIN(1,Assumptions!$H$75*Sensitivity!$C$8)/12</f>
        <v/>
      </c>
      <c r="G36" s="22">
        <f>G35*MIN(1,Assumptions!$H$75*Sensitivity!$C$8)/12</f>
        <v/>
      </c>
      <c r="H36" s="22">
        <f>H35*MIN(1,Assumptions!$H$75*Sensitivity!$C$8)/12</f>
        <v/>
      </c>
      <c r="I36" s="22">
        <f>I35*MIN(1,Assumptions!$H$75*Sensitivity!$C$8)/12</f>
        <v/>
      </c>
      <c r="J36" s="22">
        <f>J35*MIN(1,Assumptions!$H$75*Sensitivity!$C$8)/12</f>
        <v/>
      </c>
      <c r="K36" s="22">
        <f>K35*MIN(1,Assumptions!$H$75*Sensitivity!$C$8)/12</f>
        <v/>
      </c>
      <c r="L36" s="22">
        <f>L35*MIN(1,Assumptions!$H$75*Sensitivity!$C$8)/12</f>
        <v/>
      </c>
      <c r="M36" s="22">
        <f>M35*MIN(1,Assumptions!$H$75*Sensitivity!$C$8)/12</f>
        <v/>
      </c>
      <c r="N36" s="22">
        <f>N35*MIN(1,Assumptions!$H$75*Sensitivity!$C$8)/12</f>
        <v/>
      </c>
      <c r="O36" s="22">
        <f>O35*MIN(1,Assumptions!$H$75*Sensitivity!$C$8)/12</f>
        <v/>
      </c>
      <c r="P36" s="22">
        <f>P35*MIN(1,Assumptions!$H$75*Sensitivity!$C$8)/12</f>
        <v/>
      </c>
      <c r="Q36" s="22">
        <f>Q35*MIN(1,Assumptions!$H$75*Sensitivity!$C$8)/12</f>
        <v/>
      </c>
      <c r="R36" s="22">
        <f>R35*MIN(1,Assumptions!$H$75*Sensitivity!$C$8)/12</f>
        <v/>
      </c>
      <c r="S36" s="22">
        <f>S35*MIN(1,Assumptions!$H$75*Sensitivity!$C$8)/12</f>
        <v/>
      </c>
      <c r="T36" s="22">
        <f>T35*MIN(1,Assumptions!$H$75*Sensitivity!$C$8)/12</f>
        <v/>
      </c>
      <c r="U36" s="22">
        <f>U35*MIN(1,Assumptions!$H$75*Sensitivity!$C$8)/12</f>
        <v/>
      </c>
      <c r="V36" s="22">
        <f>V35*MIN(1,Assumptions!$H$75*Sensitivity!$C$8)/12</f>
        <v/>
      </c>
      <c r="W36" s="22">
        <f>W35*MIN(1,Assumptions!$H$75*Sensitivity!$C$8)/12</f>
        <v/>
      </c>
      <c r="X36" s="22">
        <f>X35*MIN(1,Assumptions!$H$75*Sensitivity!$C$8)/12</f>
        <v/>
      </c>
      <c r="Y36" s="22">
        <f>Y35*MIN(1,Assumptions!$H$75*Sensitivity!$C$8)/12</f>
        <v/>
      </c>
      <c r="Z36" s="22">
        <f>Z35*MIN(1,Assumptions!$H$75*Sensitivity!$C$8)/12</f>
        <v/>
      </c>
      <c r="AA36" s="22">
        <f>AA35*MIN(1,Assumptions!$H$75*Sensitivity!$C$8)/12</f>
        <v/>
      </c>
      <c r="AB36" s="22">
        <f>AB35*MIN(1,Assumptions!$H$75*Sensitivity!$C$8)/12</f>
        <v/>
      </c>
      <c r="AC36" s="22">
        <f>AC35*MIN(1,Assumptions!$H$75*Sensitivity!$C$8)/12</f>
        <v/>
      </c>
      <c r="AD36" s="22">
        <f>AD35*MIN(1,Assumptions!$H$75*Sensitivity!$C$8)/12</f>
        <v/>
      </c>
      <c r="AE36" s="22">
        <f>AE35*MIN(1,Assumptions!$H$75*Sensitivity!$C$8)/12</f>
        <v/>
      </c>
      <c r="AF36" s="22">
        <f>AF35*MIN(1,Assumptions!$H$75*Sensitivity!$C$8)/12</f>
        <v/>
      </c>
      <c r="AG36" s="22">
        <f>AG35*MIN(1,Assumptions!$H$75*Sensitivity!$C$8)/12</f>
        <v/>
      </c>
      <c r="AH36" s="22">
        <f>AH35*MIN(1,Assumptions!$H$75*Sensitivity!$C$8)/12</f>
        <v/>
      </c>
      <c r="AI36" s="22">
        <f>AI35*MIN(1,Assumptions!$H$75*Sensitivity!$C$8)/12</f>
        <v/>
      </c>
      <c r="AJ36" s="22">
        <f>AJ35*MIN(1,Assumptions!$H$75*Sensitivity!$C$8)/12</f>
        <v/>
      </c>
      <c r="AK36" s="22">
        <f>AK35*MIN(1,Assumptions!$H$75*Sensitivity!$C$8)/12</f>
        <v/>
      </c>
      <c r="AL36" s="22">
        <f>AL35*MIN(1,Assumptions!$H$75*Sensitivity!$C$8)/12</f>
        <v/>
      </c>
      <c r="AM36" s="22">
        <f>AM35*MIN(1,Assumptions!$H$75*Sensitivity!$C$8)/12</f>
        <v/>
      </c>
      <c r="AN36" s="22">
        <f>AN35*MIN(1,Assumptions!$H$75*Sensitivity!$C$8)/12</f>
        <v/>
      </c>
      <c r="AO36" s="22">
        <f>AO35*MIN(1,Assumptions!$H$75*Sensitivity!$C$8)/12</f>
        <v/>
      </c>
      <c r="AP36" s="22">
        <f>AP35*MIN(1,Assumptions!$H$75*Sensitivity!$C$8)/12</f>
        <v/>
      </c>
      <c r="AQ36" s="22">
        <f>AQ35*MIN(1,Assumptions!$H$75*Sensitivity!$C$8)/12</f>
        <v/>
      </c>
      <c r="AR36" s="22">
        <f>AR35*MIN(1,Assumptions!$H$75*Sensitivity!$C$8)/12</f>
        <v/>
      </c>
      <c r="AS36" s="22">
        <f>AS35*MIN(1,Assumptions!$H$75*Sensitivity!$C$8)/12</f>
        <v/>
      </c>
      <c r="AT36" s="22">
        <f>AT35*MIN(1,Assumptions!$H$75*Sensitivity!$C$8)/12</f>
        <v/>
      </c>
      <c r="AU36" s="22">
        <f>AU35*MIN(1,Assumptions!$H$75*Sensitivity!$C$8)/12</f>
        <v/>
      </c>
      <c r="AV36" s="22">
        <f>AV35*MIN(1,Assumptions!$H$75*Sensitivity!$C$8)/12</f>
        <v/>
      </c>
      <c r="AW36" s="22">
        <f>AW35*MIN(1,Assumptions!$H$75*Sensitivity!$C$8)/12</f>
        <v/>
      </c>
      <c r="AX36" s="22">
        <f>AX35*MIN(1,Assumptions!$H$75*Sensitivity!$C$8)/12</f>
        <v/>
      </c>
      <c r="AY36" s="22">
        <f>AY35*MIN(1,Assumptions!$H$75*Sensitivity!$C$8)/12</f>
        <v/>
      </c>
      <c r="AZ36" s="22">
        <f>AZ35*MIN(1,Assumptions!$H$75*Sensitivity!$C$8)/12</f>
        <v/>
      </c>
      <c r="BA36" s="22">
        <f>BA35*MIN(1,Assumptions!$H$75*Sensitivity!$C$8)/12</f>
        <v/>
      </c>
      <c r="BB36" s="22">
        <f>BB35*MIN(1,Assumptions!$H$75*Sensitivity!$C$8)/12</f>
        <v/>
      </c>
      <c r="BC36" s="22">
        <f>BC35*MIN(1,Assumptions!$H$75*Sensitivity!$C$8)/12</f>
        <v/>
      </c>
      <c r="BD36" s="22">
        <f>BD35*MIN(1,Assumptions!$H$75*Sensitivity!$C$8)/12</f>
        <v/>
      </c>
      <c r="BE36" s="22">
        <f>BE35*MIN(1,Assumptions!$H$75*Sensitivity!$C$8)/12</f>
        <v/>
      </c>
      <c r="BF36" s="22">
        <f>BF35*MIN(1,Assumptions!$H$75*Sensitivity!$C$8)/12</f>
        <v/>
      </c>
      <c r="BG36" s="22">
        <f>BG35*MIN(1,Assumptions!$H$75*Sensitivity!$C$8)/12</f>
        <v/>
      </c>
      <c r="BH36" s="22">
        <f>BH35*MIN(1,Assumptions!$H$75*Sensitivity!$C$8)/12</f>
        <v/>
      </c>
      <c r="BI36" s="22">
        <f>BI35*MIN(1,Assumptions!$H$75*Sensitivity!$C$8)/12</f>
        <v/>
      </c>
      <c r="BJ36" s="22">
        <f>BJ35*MIN(1,Assumptions!$H$75*Sensitivity!$C$8)/12</f>
        <v/>
      </c>
      <c r="BK36" s="22">
        <f>BK35*MIN(1,Assumptions!$H$75*Sensitivity!$C$8)/12</f>
        <v/>
      </c>
      <c r="BL36" s="22">
        <f>BL35*MIN(1,Assumptions!$H$75*Sensitivity!$C$8)/12</f>
        <v/>
      </c>
      <c r="BM36" s="22">
        <f>BM35*MIN(1,Assumptions!$H$75*Sensitivity!$C$8)/12</f>
        <v/>
      </c>
      <c r="BN36" s="22">
        <f>BN35*MIN(1,Assumptions!$H$75*Sensitivity!$C$8)/12</f>
        <v/>
      </c>
      <c r="BO36" s="22">
        <f>BO35*MIN(1,Assumptions!$H$75*Sensitivity!$C$8)/12</f>
        <v/>
      </c>
      <c r="BP36" s="22">
        <f>BP35*MIN(1,Assumptions!$H$75*Sensitivity!$C$8)/12</f>
        <v/>
      </c>
      <c r="BQ36" s="22">
        <f>BQ35*MIN(1,Assumptions!$H$75*Sensitivity!$C$8)/12</f>
        <v/>
      </c>
      <c r="BR36" s="22">
        <f>BR35*MIN(1,Assumptions!$H$75*Sensitivity!$C$8)/12</f>
        <v/>
      </c>
      <c r="BS36" s="22">
        <f>BS35*MIN(1,Assumptions!$H$75*Sensitivity!$C$8)/12</f>
        <v/>
      </c>
      <c r="BT36" s="22">
        <f>BT35*MIN(1,Assumptions!$H$75*Sensitivity!$C$8)/12</f>
        <v/>
      </c>
      <c r="BU36" s="22">
        <f>BU35*MIN(1,Assumptions!$H$75*Sensitivity!$C$8)/12</f>
        <v/>
      </c>
      <c r="BV36" s="22">
        <f>BV35*MIN(1,Assumptions!$H$75*Sensitivity!$C$8)/12</f>
        <v/>
      </c>
      <c r="BW36" s="22">
        <f>BW35*MIN(1,Assumptions!$H$75*Sensitivity!$C$8)/12</f>
        <v/>
      </c>
      <c r="BX36" s="22">
        <f>BX35*MIN(1,Assumptions!$H$75*Sensitivity!$C$8)/12</f>
        <v/>
      </c>
      <c r="BY36" s="22">
        <f>BY35*MIN(1,Assumptions!$H$75*Sensitivity!$C$8)/12</f>
        <v/>
      </c>
      <c r="BZ36" s="22">
        <f>BZ35*MIN(1,Assumptions!$H$75*Sensitivity!$C$8)/12</f>
        <v/>
      </c>
      <c r="CA36" s="22">
        <f>CA35*MIN(1,Assumptions!$H$75*Sensitivity!$C$8)/12</f>
        <v/>
      </c>
      <c r="CB36" s="22">
        <f>CB35*MIN(1,Assumptions!$H$75*Sensitivity!$C$8)/12</f>
        <v/>
      </c>
      <c r="CC36" s="22">
        <f>CC35*MIN(1,Assumptions!$H$75*Sensitivity!$C$8)/12</f>
        <v/>
      </c>
      <c r="CD36" s="22">
        <f>CD35*MIN(1,Assumptions!$H$75*Sensitivity!$C$8)/12</f>
        <v/>
      </c>
      <c r="CE36" s="22">
        <f>CE35*MIN(1,Assumptions!$H$75*Sensitivity!$C$8)/12</f>
        <v/>
      </c>
      <c r="CF36" s="22">
        <f>CF35*MIN(1,Assumptions!$H$75*Sensitivity!$C$8)/12</f>
        <v/>
      </c>
      <c r="CG36" s="22">
        <f>CG35*MIN(1,Assumptions!$H$75*Sensitivity!$C$8)/12</f>
        <v/>
      </c>
      <c r="CH36" s="22">
        <f>CH35*MIN(1,Assumptions!$H$75*Sensitivity!$C$8)/12</f>
        <v/>
      </c>
      <c r="CI36" s="22">
        <f>CI35*MIN(1,Assumptions!$H$75*Sensitivity!$C$8)/12</f>
        <v/>
      </c>
      <c r="CJ36" s="22">
        <f>CJ35*MIN(1,Assumptions!$H$75*Sensitivity!$C$8)/12</f>
        <v/>
      </c>
      <c r="CK36" s="22">
        <f>CK35*MIN(1,Assumptions!$H$75*Sensitivity!$C$8)/12</f>
        <v/>
      </c>
      <c r="CL36" s="22">
        <f>CL35*MIN(1,Assumptions!$H$75*Sensitivity!$C$8)/12</f>
        <v/>
      </c>
      <c r="CM36" s="22">
        <f>CM35*MIN(1,Assumptions!$H$75*Sensitivity!$C$8)/12</f>
        <v/>
      </c>
      <c r="CN36" s="22">
        <f>CN35*MIN(1,Assumptions!$H$75*Sensitivity!$C$8)/12</f>
        <v/>
      </c>
      <c r="CO36" s="22">
        <f>CO35*MIN(1,Assumptions!$H$75*Sensitivity!$C$8)/12</f>
        <v/>
      </c>
      <c r="CP36" s="22">
        <f>CP35*MIN(1,Assumptions!$H$75*Sensitivity!$C$8)/12</f>
        <v/>
      </c>
      <c r="CQ36" s="22">
        <f>CQ35*MIN(1,Assumptions!$H$75*Sensitivity!$C$8)/12</f>
        <v/>
      </c>
      <c r="CR36" s="22">
        <f>CR35*MIN(1,Assumptions!$H$75*Sensitivity!$C$8)/12</f>
        <v/>
      </c>
      <c r="CS36" s="22">
        <f>CS35*MIN(1,Assumptions!$H$75*Sensitivity!$C$8)/12</f>
        <v/>
      </c>
      <c r="CT36" s="22">
        <f>CT35*MIN(1,Assumptions!$H$75*Sensitivity!$C$8)/12</f>
        <v/>
      </c>
      <c r="CU36" s="22">
        <f>CU35*MIN(1,Assumptions!$H$75*Sensitivity!$C$8)/12</f>
        <v/>
      </c>
      <c r="CV36" s="22">
        <f>CV35*MIN(1,Assumptions!$H$75*Sensitivity!$C$8)/12</f>
        <v/>
      </c>
      <c r="CW36" s="22">
        <f>CW35*MIN(1,Assumptions!$H$75*Sensitivity!$C$8)/12</f>
        <v/>
      </c>
      <c r="CX36" s="22">
        <f>CX35*MIN(1,Assumptions!$H$75*Sensitivity!$C$8)/12</f>
        <v/>
      </c>
      <c r="CY36" s="22">
        <f>CY35*MIN(1,Assumptions!$H$75*Sensitivity!$C$8)/12</f>
        <v/>
      </c>
      <c r="CZ36" s="22">
        <f>CZ35*MIN(1,Assumptions!$H$75*Sensitivity!$C$8)/12</f>
        <v/>
      </c>
      <c r="DA36" s="22">
        <f>DA35*MIN(1,Assumptions!$H$75*Sensitivity!$C$8)/12</f>
        <v/>
      </c>
      <c r="DB36" s="22">
        <f>DB35*MIN(1,Assumptions!$H$75*Sensitivity!$C$8)/12</f>
        <v/>
      </c>
      <c r="DC36" s="22">
        <f>DC35*MIN(1,Assumptions!$H$75*Sensitivity!$C$8)/12</f>
        <v/>
      </c>
      <c r="DD36" s="22">
        <f>DD35*MIN(1,Assumptions!$H$75*Sensitivity!$C$8)/12</f>
        <v/>
      </c>
      <c r="DE36" s="22">
        <f>DE35*MIN(1,Assumptions!$H$75*Sensitivity!$C$8)/12</f>
        <v/>
      </c>
      <c r="DF36" s="22">
        <f>DF35*MIN(1,Assumptions!$H$75*Sensitivity!$C$8)/12</f>
        <v/>
      </c>
      <c r="DG36" s="22">
        <f>DG35*MIN(1,Assumptions!$H$75*Sensitivity!$C$8)/12</f>
        <v/>
      </c>
      <c r="DH36" s="22">
        <f>DH35*MIN(1,Assumptions!$H$75*Sensitivity!$C$8)/12</f>
        <v/>
      </c>
      <c r="DI36" s="22">
        <f>DI35*MIN(1,Assumptions!$H$75*Sensitivity!$C$8)/12</f>
        <v/>
      </c>
      <c r="DJ36" s="22">
        <f>DJ35*MIN(1,Assumptions!$H$75*Sensitivity!$C$8)/12</f>
        <v/>
      </c>
      <c r="DK36" s="22">
        <f>DK35*MIN(1,Assumptions!$H$75*Sensitivity!$C$8)/12</f>
        <v/>
      </c>
      <c r="DL36" s="22">
        <f>DL35*MIN(1,Assumptions!$H$75*Sensitivity!$C$8)/12</f>
        <v/>
      </c>
      <c r="DM36" s="22">
        <f>DM35*MIN(1,Assumptions!$H$75*Sensitivity!$C$8)/12</f>
        <v/>
      </c>
      <c r="DN36" s="22">
        <f>DN35*MIN(1,Assumptions!$H$75*Sensitivity!$C$8)/12</f>
        <v/>
      </c>
      <c r="DO36" s="22">
        <f>DO35*MIN(1,Assumptions!$H$75*Sensitivity!$C$8)/12</f>
        <v/>
      </c>
      <c r="DP36" s="22">
        <f>DP35*MIN(1,Assumptions!$H$75*Sensitivity!$C$8)/12</f>
        <v/>
      </c>
      <c r="DQ36" s="22">
        <f>DQ35*MIN(1,Assumptions!$H$75*Sensitivity!$C$8)/12</f>
        <v/>
      </c>
      <c r="DR36" s="22">
        <f>DR35*MIN(1,Assumptions!$H$75*Sensitivity!$C$8)/12</f>
        <v/>
      </c>
      <c r="DS36" s="22">
        <f>DS35*MIN(1,Assumptions!$H$75*Sensitivity!$C$8)/12</f>
        <v/>
      </c>
    </row>
    <row r="37">
      <c r="A37" s="2" t="inlineStr">
        <is>
          <t>SH_FCULL</t>
        </is>
      </c>
      <c r="B37" s="6" t="inlineStr">
        <is>
          <t>Females culled (sold)</t>
        </is>
      </c>
      <c r="C37" s="2" t="inlineStr">
        <is>
          <t>head</t>
        </is>
      </c>
      <c r="D37" s="22">
        <f>D35*Assumptions!$H$79/12</f>
        <v/>
      </c>
      <c r="E37" s="22">
        <f>E35*Assumptions!$H$79/12</f>
        <v/>
      </c>
      <c r="F37" s="22">
        <f>F35*Assumptions!$H$79/12</f>
        <v/>
      </c>
      <c r="G37" s="22">
        <f>G35*Assumptions!$H$79/12</f>
        <v/>
      </c>
      <c r="H37" s="22">
        <f>H35*Assumptions!$H$79/12</f>
        <v/>
      </c>
      <c r="I37" s="22">
        <f>I35*Assumptions!$H$79/12</f>
        <v/>
      </c>
      <c r="J37" s="22">
        <f>J35*Assumptions!$H$79/12</f>
        <v/>
      </c>
      <c r="K37" s="22">
        <f>K35*Assumptions!$H$79/12</f>
        <v/>
      </c>
      <c r="L37" s="22">
        <f>L35*Assumptions!$H$79/12</f>
        <v/>
      </c>
      <c r="M37" s="22">
        <f>M35*Assumptions!$H$79/12</f>
        <v/>
      </c>
      <c r="N37" s="22">
        <f>N35*Assumptions!$H$79/12</f>
        <v/>
      </c>
      <c r="O37" s="22">
        <f>O35*Assumptions!$H$79/12</f>
        <v/>
      </c>
      <c r="P37" s="22">
        <f>P35*Assumptions!$H$79/12</f>
        <v/>
      </c>
      <c r="Q37" s="22">
        <f>Q35*Assumptions!$H$79/12</f>
        <v/>
      </c>
      <c r="R37" s="22">
        <f>R35*Assumptions!$H$79/12</f>
        <v/>
      </c>
      <c r="S37" s="22">
        <f>S35*Assumptions!$H$79/12</f>
        <v/>
      </c>
      <c r="T37" s="22">
        <f>T35*Assumptions!$H$79/12</f>
        <v/>
      </c>
      <c r="U37" s="22">
        <f>U35*Assumptions!$H$79/12</f>
        <v/>
      </c>
      <c r="V37" s="22">
        <f>V35*Assumptions!$H$79/12</f>
        <v/>
      </c>
      <c r="W37" s="22">
        <f>W35*Assumptions!$H$79/12</f>
        <v/>
      </c>
      <c r="X37" s="22">
        <f>X35*Assumptions!$H$79/12</f>
        <v/>
      </c>
      <c r="Y37" s="22">
        <f>Y35*Assumptions!$H$79/12</f>
        <v/>
      </c>
      <c r="Z37" s="22">
        <f>Z35*Assumptions!$H$79/12</f>
        <v/>
      </c>
      <c r="AA37" s="22">
        <f>AA35*Assumptions!$H$79/12</f>
        <v/>
      </c>
      <c r="AB37" s="22">
        <f>AB35*Assumptions!$H$79/12</f>
        <v/>
      </c>
      <c r="AC37" s="22">
        <f>AC35*Assumptions!$H$79/12</f>
        <v/>
      </c>
      <c r="AD37" s="22">
        <f>AD35*Assumptions!$H$79/12</f>
        <v/>
      </c>
      <c r="AE37" s="22">
        <f>AE35*Assumptions!$H$79/12</f>
        <v/>
      </c>
      <c r="AF37" s="22">
        <f>AF35*Assumptions!$H$79/12</f>
        <v/>
      </c>
      <c r="AG37" s="22">
        <f>AG35*Assumptions!$H$79/12</f>
        <v/>
      </c>
      <c r="AH37" s="22">
        <f>AH35*Assumptions!$H$79/12</f>
        <v/>
      </c>
      <c r="AI37" s="22">
        <f>AI35*Assumptions!$H$79/12</f>
        <v/>
      </c>
      <c r="AJ37" s="22">
        <f>AJ35*Assumptions!$H$79/12</f>
        <v/>
      </c>
      <c r="AK37" s="22">
        <f>AK35*Assumptions!$H$79/12</f>
        <v/>
      </c>
      <c r="AL37" s="22">
        <f>AL35*Assumptions!$H$79/12</f>
        <v/>
      </c>
      <c r="AM37" s="22">
        <f>AM35*Assumptions!$H$79/12</f>
        <v/>
      </c>
      <c r="AN37" s="22">
        <f>AN35*Assumptions!$H$79/12</f>
        <v/>
      </c>
      <c r="AO37" s="22">
        <f>AO35*Assumptions!$H$79/12</f>
        <v/>
      </c>
      <c r="AP37" s="22">
        <f>AP35*Assumptions!$H$79/12</f>
        <v/>
      </c>
      <c r="AQ37" s="22">
        <f>AQ35*Assumptions!$H$79/12</f>
        <v/>
      </c>
      <c r="AR37" s="22">
        <f>AR35*Assumptions!$H$79/12</f>
        <v/>
      </c>
      <c r="AS37" s="22">
        <f>AS35*Assumptions!$H$79/12</f>
        <v/>
      </c>
      <c r="AT37" s="22">
        <f>AT35*Assumptions!$H$79/12</f>
        <v/>
      </c>
      <c r="AU37" s="22">
        <f>AU35*Assumptions!$H$79/12</f>
        <v/>
      </c>
      <c r="AV37" s="22">
        <f>AV35*Assumptions!$H$79/12</f>
        <v/>
      </c>
      <c r="AW37" s="22">
        <f>AW35*Assumptions!$H$79/12</f>
        <v/>
      </c>
      <c r="AX37" s="22">
        <f>AX35*Assumptions!$H$79/12</f>
        <v/>
      </c>
      <c r="AY37" s="22">
        <f>AY35*Assumptions!$H$79/12</f>
        <v/>
      </c>
      <c r="AZ37" s="22">
        <f>AZ35*Assumptions!$H$79/12</f>
        <v/>
      </c>
      <c r="BA37" s="22">
        <f>BA35*Assumptions!$H$79/12</f>
        <v/>
      </c>
      <c r="BB37" s="22">
        <f>BB35*Assumptions!$H$79/12</f>
        <v/>
      </c>
      <c r="BC37" s="22">
        <f>BC35*Assumptions!$H$79/12</f>
        <v/>
      </c>
      <c r="BD37" s="22">
        <f>BD35*Assumptions!$H$79/12</f>
        <v/>
      </c>
      <c r="BE37" s="22">
        <f>BE35*Assumptions!$H$79/12</f>
        <v/>
      </c>
      <c r="BF37" s="22">
        <f>BF35*Assumptions!$H$79/12</f>
        <v/>
      </c>
      <c r="BG37" s="22">
        <f>BG35*Assumptions!$H$79/12</f>
        <v/>
      </c>
      <c r="BH37" s="22">
        <f>BH35*Assumptions!$H$79/12</f>
        <v/>
      </c>
      <c r="BI37" s="22">
        <f>BI35*Assumptions!$H$79/12</f>
        <v/>
      </c>
      <c r="BJ37" s="22">
        <f>BJ35*Assumptions!$H$79/12</f>
        <v/>
      </c>
      <c r="BK37" s="22">
        <f>BK35*Assumptions!$H$79/12</f>
        <v/>
      </c>
      <c r="BL37" s="22">
        <f>BL35*Assumptions!$H$79/12</f>
        <v/>
      </c>
      <c r="BM37" s="22">
        <f>BM35*Assumptions!$H$79/12</f>
        <v/>
      </c>
      <c r="BN37" s="22">
        <f>BN35*Assumptions!$H$79/12</f>
        <v/>
      </c>
      <c r="BO37" s="22">
        <f>BO35*Assumptions!$H$79/12</f>
        <v/>
      </c>
      <c r="BP37" s="22">
        <f>BP35*Assumptions!$H$79/12</f>
        <v/>
      </c>
      <c r="BQ37" s="22">
        <f>BQ35*Assumptions!$H$79/12</f>
        <v/>
      </c>
      <c r="BR37" s="22">
        <f>BR35*Assumptions!$H$79/12</f>
        <v/>
      </c>
      <c r="BS37" s="22">
        <f>BS35*Assumptions!$H$79/12</f>
        <v/>
      </c>
      <c r="BT37" s="22">
        <f>BT35*Assumptions!$H$79/12</f>
        <v/>
      </c>
      <c r="BU37" s="22">
        <f>BU35*Assumptions!$H$79/12</f>
        <v/>
      </c>
      <c r="BV37" s="22">
        <f>BV35*Assumptions!$H$79/12</f>
        <v/>
      </c>
      <c r="BW37" s="22">
        <f>BW35*Assumptions!$H$79/12</f>
        <v/>
      </c>
      <c r="BX37" s="22">
        <f>BX35*Assumptions!$H$79/12</f>
        <v/>
      </c>
      <c r="BY37" s="22">
        <f>BY35*Assumptions!$H$79/12</f>
        <v/>
      </c>
      <c r="BZ37" s="22">
        <f>BZ35*Assumptions!$H$79/12</f>
        <v/>
      </c>
      <c r="CA37" s="22">
        <f>CA35*Assumptions!$H$79/12</f>
        <v/>
      </c>
      <c r="CB37" s="22">
        <f>CB35*Assumptions!$H$79/12</f>
        <v/>
      </c>
      <c r="CC37" s="22">
        <f>CC35*Assumptions!$H$79/12</f>
        <v/>
      </c>
      <c r="CD37" s="22">
        <f>CD35*Assumptions!$H$79/12</f>
        <v/>
      </c>
      <c r="CE37" s="22">
        <f>CE35*Assumptions!$H$79/12</f>
        <v/>
      </c>
      <c r="CF37" s="22">
        <f>CF35*Assumptions!$H$79/12</f>
        <v/>
      </c>
      <c r="CG37" s="22">
        <f>CG35*Assumptions!$H$79/12</f>
        <v/>
      </c>
      <c r="CH37" s="22">
        <f>CH35*Assumptions!$H$79/12</f>
        <v/>
      </c>
      <c r="CI37" s="22">
        <f>CI35*Assumptions!$H$79/12</f>
        <v/>
      </c>
      <c r="CJ37" s="22">
        <f>CJ35*Assumptions!$H$79/12</f>
        <v/>
      </c>
      <c r="CK37" s="22">
        <f>CK35*Assumptions!$H$79/12</f>
        <v/>
      </c>
      <c r="CL37" s="22">
        <f>CL35*Assumptions!$H$79/12</f>
        <v/>
      </c>
      <c r="CM37" s="22">
        <f>CM35*Assumptions!$H$79/12</f>
        <v/>
      </c>
      <c r="CN37" s="22">
        <f>CN35*Assumptions!$H$79/12</f>
        <v/>
      </c>
      <c r="CO37" s="22">
        <f>CO35*Assumptions!$H$79/12</f>
        <v/>
      </c>
      <c r="CP37" s="22">
        <f>CP35*Assumptions!$H$79/12</f>
        <v/>
      </c>
      <c r="CQ37" s="22">
        <f>CQ35*Assumptions!$H$79/12</f>
        <v/>
      </c>
      <c r="CR37" s="22">
        <f>CR35*Assumptions!$H$79/12</f>
        <v/>
      </c>
      <c r="CS37" s="22">
        <f>CS35*Assumptions!$H$79/12</f>
        <v/>
      </c>
      <c r="CT37" s="22">
        <f>CT35*Assumptions!$H$79/12</f>
        <v/>
      </c>
      <c r="CU37" s="22">
        <f>CU35*Assumptions!$H$79/12</f>
        <v/>
      </c>
      <c r="CV37" s="22">
        <f>CV35*Assumptions!$H$79/12</f>
        <v/>
      </c>
      <c r="CW37" s="22">
        <f>CW35*Assumptions!$H$79/12</f>
        <v/>
      </c>
      <c r="CX37" s="22">
        <f>CX35*Assumptions!$H$79/12</f>
        <v/>
      </c>
      <c r="CY37" s="22">
        <f>CY35*Assumptions!$H$79/12</f>
        <v/>
      </c>
      <c r="CZ37" s="22">
        <f>CZ35*Assumptions!$H$79/12</f>
        <v/>
      </c>
      <c r="DA37" s="22">
        <f>DA35*Assumptions!$H$79/12</f>
        <v/>
      </c>
      <c r="DB37" s="22">
        <f>DB35*Assumptions!$H$79/12</f>
        <v/>
      </c>
      <c r="DC37" s="22">
        <f>DC35*Assumptions!$H$79/12</f>
        <v/>
      </c>
      <c r="DD37" s="22">
        <f>DD35*Assumptions!$H$79/12</f>
        <v/>
      </c>
      <c r="DE37" s="22">
        <f>DE35*Assumptions!$H$79/12</f>
        <v/>
      </c>
      <c r="DF37" s="22">
        <f>DF35*Assumptions!$H$79/12</f>
        <v/>
      </c>
      <c r="DG37" s="22">
        <f>DG35*Assumptions!$H$79/12</f>
        <v/>
      </c>
      <c r="DH37" s="22">
        <f>DH35*Assumptions!$H$79/12</f>
        <v/>
      </c>
      <c r="DI37" s="22">
        <f>DI35*Assumptions!$H$79/12</f>
        <v/>
      </c>
      <c r="DJ37" s="22">
        <f>DJ35*Assumptions!$H$79/12</f>
        <v/>
      </c>
      <c r="DK37" s="22">
        <f>DK35*Assumptions!$H$79/12</f>
        <v/>
      </c>
      <c r="DL37" s="22">
        <f>DL35*Assumptions!$H$79/12</f>
        <v/>
      </c>
      <c r="DM37" s="22">
        <f>DM35*Assumptions!$H$79/12</f>
        <v/>
      </c>
      <c r="DN37" s="22">
        <f>DN35*Assumptions!$H$79/12</f>
        <v/>
      </c>
      <c r="DO37" s="22">
        <f>DO35*Assumptions!$H$79/12</f>
        <v/>
      </c>
      <c r="DP37" s="22">
        <f>DP35*Assumptions!$H$79/12</f>
        <v/>
      </c>
      <c r="DQ37" s="22">
        <f>DQ35*Assumptions!$H$79/12</f>
        <v/>
      </c>
      <c r="DR37" s="22">
        <f>DR35*Assumptions!$H$79/12</f>
        <v/>
      </c>
      <c r="DS37" s="22">
        <f>DS35*Assumptions!$H$79/12</f>
        <v/>
      </c>
    </row>
    <row r="38">
      <c r="A38" s="2" t="inlineStr">
        <is>
          <t>SH_BIRTHS</t>
        </is>
      </c>
      <c r="B38" s="6" t="inlineStr">
        <is>
          <t>Young born</t>
        </is>
      </c>
      <c r="C38" s="2" t="inlineStr">
        <is>
          <t>head</t>
        </is>
      </c>
      <c r="D38" s="22">
        <f>0</f>
        <v/>
      </c>
      <c r="E38" s="22">
        <f>0</f>
        <v/>
      </c>
      <c r="F38" s="22">
        <f>0</f>
        <v/>
      </c>
      <c r="G38" s="22">
        <f>0</f>
        <v/>
      </c>
      <c r="H38" s="22">
        <f>0</f>
        <v/>
      </c>
      <c r="I38" s="22">
        <f>0</f>
        <v/>
      </c>
      <c r="J38" s="22">
        <f>D42*Assumptions!$H$63/12*Assumptions!$H$67</f>
        <v/>
      </c>
      <c r="K38" s="22">
        <f>E42*Assumptions!$H$63/12*Assumptions!$H$67</f>
        <v/>
      </c>
      <c r="L38" s="22">
        <f>F42*Assumptions!$H$63/12*Assumptions!$H$67</f>
        <v/>
      </c>
      <c r="M38" s="22">
        <f>G42*Assumptions!$H$63/12*Assumptions!$H$67</f>
        <v/>
      </c>
      <c r="N38" s="22">
        <f>H42*Assumptions!$H$63/12*Assumptions!$H$67</f>
        <v/>
      </c>
      <c r="O38" s="22">
        <f>I42*Assumptions!$H$63/12*Assumptions!$H$67</f>
        <v/>
      </c>
      <c r="P38" s="22">
        <f>J42*Assumptions!$H$63/12*Assumptions!$H$67</f>
        <v/>
      </c>
      <c r="Q38" s="22">
        <f>K42*Assumptions!$H$63/12*Assumptions!$H$67</f>
        <v/>
      </c>
      <c r="R38" s="22">
        <f>L42*Assumptions!$H$63/12*Assumptions!$H$67</f>
        <v/>
      </c>
      <c r="S38" s="22">
        <f>M42*Assumptions!$H$63/12*Assumptions!$H$67</f>
        <v/>
      </c>
      <c r="T38" s="22">
        <f>N42*Assumptions!$H$63/12*Assumptions!$H$67</f>
        <v/>
      </c>
      <c r="U38" s="22">
        <f>O42*Assumptions!$H$63/12*Assumptions!$H$67</f>
        <v/>
      </c>
      <c r="V38" s="22">
        <f>P42*Assumptions!$H$63/12*Assumptions!$H$67</f>
        <v/>
      </c>
      <c r="W38" s="22">
        <f>Q42*Assumptions!$H$63/12*Assumptions!$H$67</f>
        <v/>
      </c>
      <c r="X38" s="22">
        <f>R42*Assumptions!$H$63/12*Assumptions!$H$67</f>
        <v/>
      </c>
      <c r="Y38" s="22">
        <f>S42*Assumptions!$H$63/12*Assumptions!$H$67</f>
        <v/>
      </c>
      <c r="Z38" s="22">
        <f>T42*Assumptions!$H$63/12*Assumptions!$H$67</f>
        <v/>
      </c>
      <c r="AA38" s="22">
        <f>U42*Assumptions!$H$63/12*Assumptions!$H$67</f>
        <v/>
      </c>
      <c r="AB38" s="22">
        <f>V42*Assumptions!$H$63/12*Assumptions!$H$67</f>
        <v/>
      </c>
      <c r="AC38" s="22">
        <f>W42*Assumptions!$H$63/12*Assumptions!$H$67</f>
        <v/>
      </c>
      <c r="AD38" s="22">
        <f>X42*Assumptions!$H$63/12*Assumptions!$H$67</f>
        <v/>
      </c>
      <c r="AE38" s="22">
        <f>Y42*Assumptions!$H$63/12*Assumptions!$H$67</f>
        <v/>
      </c>
      <c r="AF38" s="22">
        <f>Z42*Assumptions!$H$63/12*Assumptions!$H$67</f>
        <v/>
      </c>
      <c r="AG38" s="22">
        <f>AA42*Assumptions!$H$63/12*Assumptions!$H$67</f>
        <v/>
      </c>
      <c r="AH38" s="22">
        <f>AB42*Assumptions!$H$63/12*Assumptions!$H$67</f>
        <v/>
      </c>
      <c r="AI38" s="22">
        <f>AC42*Assumptions!$H$63/12*Assumptions!$H$67</f>
        <v/>
      </c>
      <c r="AJ38" s="22">
        <f>AD42*Assumptions!$H$63/12*Assumptions!$H$67</f>
        <v/>
      </c>
      <c r="AK38" s="22">
        <f>AE42*Assumptions!$H$63/12*Assumptions!$H$67</f>
        <v/>
      </c>
      <c r="AL38" s="22">
        <f>AF42*Assumptions!$H$63/12*Assumptions!$H$67</f>
        <v/>
      </c>
      <c r="AM38" s="22">
        <f>AG42*Assumptions!$H$63/12*Assumptions!$H$67</f>
        <v/>
      </c>
      <c r="AN38" s="22">
        <f>AH42*Assumptions!$H$63/12*Assumptions!$H$67</f>
        <v/>
      </c>
      <c r="AO38" s="22">
        <f>AI42*Assumptions!$H$63/12*Assumptions!$H$67</f>
        <v/>
      </c>
      <c r="AP38" s="22">
        <f>AJ42*Assumptions!$H$63/12*Assumptions!$H$67</f>
        <v/>
      </c>
      <c r="AQ38" s="22">
        <f>AK42*Assumptions!$H$63/12*Assumptions!$H$67</f>
        <v/>
      </c>
      <c r="AR38" s="22">
        <f>AL42*Assumptions!$H$63/12*Assumptions!$H$67</f>
        <v/>
      </c>
      <c r="AS38" s="22">
        <f>AM42*Assumptions!$H$63/12*Assumptions!$H$67</f>
        <v/>
      </c>
      <c r="AT38" s="22">
        <f>AN42*Assumptions!$H$63/12*Assumptions!$H$67</f>
        <v/>
      </c>
      <c r="AU38" s="22">
        <f>AO42*Assumptions!$H$63/12*Assumptions!$H$67</f>
        <v/>
      </c>
      <c r="AV38" s="22">
        <f>AP42*Assumptions!$H$63/12*Assumptions!$H$67</f>
        <v/>
      </c>
      <c r="AW38" s="22">
        <f>AQ42*Assumptions!$H$63/12*Assumptions!$H$67</f>
        <v/>
      </c>
      <c r="AX38" s="22">
        <f>AR42*Assumptions!$H$63/12*Assumptions!$H$67</f>
        <v/>
      </c>
      <c r="AY38" s="22">
        <f>AS42*Assumptions!$H$63/12*Assumptions!$H$67</f>
        <v/>
      </c>
      <c r="AZ38" s="22">
        <f>AT42*Assumptions!$H$63/12*Assumptions!$H$67</f>
        <v/>
      </c>
      <c r="BA38" s="22">
        <f>AU42*Assumptions!$H$63/12*Assumptions!$H$67</f>
        <v/>
      </c>
      <c r="BB38" s="22">
        <f>AV42*Assumptions!$H$63/12*Assumptions!$H$67</f>
        <v/>
      </c>
      <c r="BC38" s="22">
        <f>AW42*Assumptions!$H$63/12*Assumptions!$H$67</f>
        <v/>
      </c>
      <c r="BD38" s="22">
        <f>AX42*Assumptions!$H$63/12*Assumptions!$H$67</f>
        <v/>
      </c>
      <c r="BE38" s="22">
        <f>AY42*Assumptions!$H$63/12*Assumptions!$H$67</f>
        <v/>
      </c>
      <c r="BF38" s="22">
        <f>AZ42*Assumptions!$H$63/12*Assumptions!$H$67</f>
        <v/>
      </c>
      <c r="BG38" s="22">
        <f>BA42*Assumptions!$H$63/12*Assumptions!$H$67</f>
        <v/>
      </c>
      <c r="BH38" s="22">
        <f>BB42*Assumptions!$H$63/12*Assumptions!$H$67</f>
        <v/>
      </c>
      <c r="BI38" s="22">
        <f>BC42*Assumptions!$H$63/12*Assumptions!$H$67</f>
        <v/>
      </c>
      <c r="BJ38" s="22">
        <f>BD42*Assumptions!$H$63/12*Assumptions!$H$67</f>
        <v/>
      </c>
      <c r="BK38" s="22">
        <f>BE42*Assumptions!$H$63/12*Assumptions!$H$67</f>
        <v/>
      </c>
      <c r="BL38" s="22">
        <f>BF42*Assumptions!$H$63/12*Assumptions!$H$67</f>
        <v/>
      </c>
      <c r="BM38" s="22">
        <f>BG42*Assumptions!$H$63/12*Assumptions!$H$67</f>
        <v/>
      </c>
      <c r="BN38" s="22">
        <f>BH42*Assumptions!$H$63/12*Assumptions!$H$67</f>
        <v/>
      </c>
      <c r="BO38" s="22">
        <f>BI42*Assumptions!$H$63/12*Assumptions!$H$67</f>
        <v/>
      </c>
      <c r="BP38" s="22">
        <f>BJ42*Assumptions!$H$63/12*Assumptions!$H$67</f>
        <v/>
      </c>
      <c r="BQ38" s="22">
        <f>BK42*Assumptions!$H$63/12*Assumptions!$H$67</f>
        <v/>
      </c>
      <c r="BR38" s="22">
        <f>BL42*Assumptions!$H$63/12*Assumptions!$H$67</f>
        <v/>
      </c>
      <c r="BS38" s="22">
        <f>BM42*Assumptions!$H$63/12*Assumptions!$H$67</f>
        <v/>
      </c>
      <c r="BT38" s="22">
        <f>BN42*Assumptions!$H$63/12*Assumptions!$H$67</f>
        <v/>
      </c>
      <c r="BU38" s="22">
        <f>BO42*Assumptions!$H$63/12*Assumptions!$H$67</f>
        <v/>
      </c>
      <c r="BV38" s="22">
        <f>BP42*Assumptions!$H$63/12*Assumptions!$H$67</f>
        <v/>
      </c>
      <c r="BW38" s="22">
        <f>BQ42*Assumptions!$H$63/12*Assumptions!$H$67</f>
        <v/>
      </c>
      <c r="BX38" s="22">
        <f>BR42*Assumptions!$H$63/12*Assumptions!$H$67</f>
        <v/>
      </c>
      <c r="BY38" s="22">
        <f>BS42*Assumptions!$H$63/12*Assumptions!$H$67</f>
        <v/>
      </c>
      <c r="BZ38" s="22">
        <f>BT42*Assumptions!$H$63/12*Assumptions!$H$67</f>
        <v/>
      </c>
      <c r="CA38" s="22">
        <f>BU42*Assumptions!$H$63/12*Assumptions!$H$67</f>
        <v/>
      </c>
      <c r="CB38" s="22">
        <f>BV42*Assumptions!$H$63/12*Assumptions!$H$67</f>
        <v/>
      </c>
      <c r="CC38" s="22">
        <f>BW42*Assumptions!$H$63/12*Assumptions!$H$67</f>
        <v/>
      </c>
      <c r="CD38" s="22">
        <f>BX42*Assumptions!$H$63/12*Assumptions!$H$67</f>
        <v/>
      </c>
      <c r="CE38" s="22">
        <f>BY42*Assumptions!$H$63/12*Assumptions!$H$67</f>
        <v/>
      </c>
      <c r="CF38" s="22">
        <f>BZ42*Assumptions!$H$63/12*Assumptions!$H$67</f>
        <v/>
      </c>
      <c r="CG38" s="22">
        <f>CA42*Assumptions!$H$63/12*Assumptions!$H$67</f>
        <v/>
      </c>
      <c r="CH38" s="22">
        <f>CB42*Assumptions!$H$63/12*Assumptions!$H$67</f>
        <v/>
      </c>
      <c r="CI38" s="22">
        <f>CC42*Assumptions!$H$63/12*Assumptions!$H$67</f>
        <v/>
      </c>
      <c r="CJ38" s="22">
        <f>CD42*Assumptions!$H$63/12*Assumptions!$H$67</f>
        <v/>
      </c>
      <c r="CK38" s="22">
        <f>CE42*Assumptions!$H$63/12*Assumptions!$H$67</f>
        <v/>
      </c>
      <c r="CL38" s="22">
        <f>CF42*Assumptions!$H$63/12*Assumptions!$H$67</f>
        <v/>
      </c>
      <c r="CM38" s="22">
        <f>CG42*Assumptions!$H$63/12*Assumptions!$H$67</f>
        <v/>
      </c>
      <c r="CN38" s="22">
        <f>CH42*Assumptions!$H$63/12*Assumptions!$H$67</f>
        <v/>
      </c>
      <c r="CO38" s="22">
        <f>CI42*Assumptions!$H$63/12*Assumptions!$H$67</f>
        <v/>
      </c>
      <c r="CP38" s="22">
        <f>CJ42*Assumptions!$H$63/12*Assumptions!$H$67</f>
        <v/>
      </c>
      <c r="CQ38" s="22">
        <f>CK42*Assumptions!$H$63/12*Assumptions!$H$67</f>
        <v/>
      </c>
      <c r="CR38" s="22">
        <f>CL42*Assumptions!$H$63/12*Assumptions!$H$67</f>
        <v/>
      </c>
      <c r="CS38" s="22">
        <f>CM42*Assumptions!$H$63/12*Assumptions!$H$67</f>
        <v/>
      </c>
      <c r="CT38" s="22">
        <f>CN42*Assumptions!$H$63/12*Assumptions!$H$67</f>
        <v/>
      </c>
      <c r="CU38" s="22">
        <f>CO42*Assumptions!$H$63/12*Assumptions!$H$67</f>
        <v/>
      </c>
      <c r="CV38" s="22">
        <f>CP42*Assumptions!$H$63/12*Assumptions!$H$67</f>
        <v/>
      </c>
      <c r="CW38" s="22">
        <f>CQ42*Assumptions!$H$63/12*Assumptions!$H$67</f>
        <v/>
      </c>
      <c r="CX38" s="22">
        <f>CR42*Assumptions!$H$63/12*Assumptions!$H$67</f>
        <v/>
      </c>
      <c r="CY38" s="22">
        <f>CS42*Assumptions!$H$63/12*Assumptions!$H$67</f>
        <v/>
      </c>
      <c r="CZ38" s="22">
        <f>CT42*Assumptions!$H$63/12*Assumptions!$H$67</f>
        <v/>
      </c>
      <c r="DA38" s="22">
        <f>CU42*Assumptions!$H$63/12*Assumptions!$H$67</f>
        <v/>
      </c>
      <c r="DB38" s="22">
        <f>CV42*Assumptions!$H$63/12*Assumptions!$H$67</f>
        <v/>
      </c>
      <c r="DC38" s="22">
        <f>CW42*Assumptions!$H$63/12*Assumptions!$H$67</f>
        <v/>
      </c>
      <c r="DD38" s="22">
        <f>CX42*Assumptions!$H$63/12*Assumptions!$H$67</f>
        <v/>
      </c>
      <c r="DE38" s="22">
        <f>CY42*Assumptions!$H$63/12*Assumptions!$H$67</f>
        <v/>
      </c>
      <c r="DF38" s="22">
        <f>CZ42*Assumptions!$H$63/12*Assumptions!$H$67</f>
        <v/>
      </c>
      <c r="DG38" s="22">
        <f>DA42*Assumptions!$H$63/12*Assumptions!$H$67</f>
        <v/>
      </c>
      <c r="DH38" s="22">
        <f>DB42*Assumptions!$H$63/12*Assumptions!$H$67</f>
        <v/>
      </c>
      <c r="DI38" s="22">
        <f>DC42*Assumptions!$H$63/12*Assumptions!$H$67</f>
        <v/>
      </c>
      <c r="DJ38" s="22">
        <f>DD42*Assumptions!$H$63/12*Assumptions!$H$67</f>
        <v/>
      </c>
      <c r="DK38" s="22">
        <f>DE42*Assumptions!$H$63/12*Assumptions!$H$67</f>
        <v/>
      </c>
      <c r="DL38" s="22">
        <f>DF42*Assumptions!$H$63/12*Assumptions!$H$67</f>
        <v/>
      </c>
      <c r="DM38" s="22">
        <f>DG42*Assumptions!$H$63/12*Assumptions!$H$67</f>
        <v/>
      </c>
      <c r="DN38" s="22">
        <f>DH42*Assumptions!$H$63/12*Assumptions!$H$67</f>
        <v/>
      </c>
      <c r="DO38" s="22">
        <f>DI42*Assumptions!$H$63/12*Assumptions!$H$67</f>
        <v/>
      </c>
      <c r="DP38" s="22">
        <f>DJ42*Assumptions!$H$63/12*Assumptions!$H$67</f>
        <v/>
      </c>
      <c r="DQ38" s="22">
        <f>DK42*Assumptions!$H$63/12*Assumptions!$H$67</f>
        <v/>
      </c>
      <c r="DR38" s="22">
        <f>DL42*Assumptions!$H$63/12*Assumptions!$H$67</f>
        <v/>
      </c>
      <c r="DS38" s="22">
        <f>DM42*Assumptions!$H$63/12*Assumptions!$H$67</f>
        <v/>
      </c>
    </row>
    <row r="39">
      <c r="A39" s="2" t="inlineStr">
        <is>
          <t>SH_YSURV</t>
        </is>
      </c>
      <c r="B39" s="6" t="inlineStr">
        <is>
          <t>Young surviving to weaning</t>
        </is>
      </c>
      <c r="C39" s="2" t="inlineStr">
        <is>
          <t>head</t>
        </is>
      </c>
      <c r="D39" s="22">
        <f>D38*(1-MIN(1,Assumptions!$H$71*Sensitivity!$C$8))</f>
        <v/>
      </c>
      <c r="E39" s="22">
        <f>E38*(1-MIN(1,Assumptions!$H$71*Sensitivity!$C$8))</f>
        <v/>
      </c>
      <c r="F39" s="22">
        <f>F38*(1-MIN(1,Assumptions!$H$71*Sensitivity!$C$8))</f>
        <v/>
      </c>
      <c r="G39" s="22">
        <f>G38*(1-MIN(1,Assumptions!$H$71*Sensitivity!$C$8))</f>
        <v/>
      </c>
      <c r="H39" s="22">
        <f>H38*(1-MIN(1,Assumptions!$H$71*Sensitivity!$C$8))</f>
        <v/>
      </c>
      <c r="I39" s="22">
        <f>I38*(1-MIN(1,Assumptions!$H$71*Sensitivity!$C$8))</f>
        <v/>
      </c>
      <c r="J39" s="22">
        <f>J38*(1-MIN(1,Assumptions!$H$71*Sensitivity!$C$8))</f>
        <v/>
      </c>
      <c r="K39" s="22">
        <f>K38*(1-MIN(1,Assumptions!$H$71*Sensitivity!$C$8))</f>
        <v/>
      </c>
      <c r="L39" s="22">
        <f>L38*(1-MIN(1,Assumptions!$H$71*Sensitivity!$C$8))</f>
        <v/>
      </c>
      <c r="M39" s="22">
        <f>M38*(1-MIN(1,Assumptions!$H$71*Sensitivity!$C$8))</f>
        <v/>
      </c>
      <c r="N39" s="22">
        <f>N38*(1-MIN(1,Assumptions!$H$71*Sensitivity!$C$8))</f>
        <v/>
      </c>
      <c r="O39" s="22">
        <f>O38*(1-MIN(1,Assumptions!$H$71*Sensitivity!$C$8))</f>
        <v/>
      </c>
      <c r="P39" s="22">
        <f>P38*(1-MIN(1,Assumptions!$H$71*Sensitivity!$C$8))</f>
        <v/>
      </c>
      <c r="Q39" s="22">
        <f>Q38*(1-MIN(1,Assumptions!$H$71*Sensitivity!$C$8))</f>
        <v/>
      </c>
      <c r="R39" s="22">
        <f>R38*(1-MIN(1,Assumptions!$H$71*Sensitivity!$C$8))</f>
        <v/>
      </c>
      <c r="S39" s="22">
        <f>S38*(1-MIN(1,Assumptions!$H$71*Sensitivity!$C$8))</f>
        <v/>
      </c>
      <c r="T39" s="22">
        <f>T38*(1-MIN(1,Assumptions!$H$71*Sensitivity!$C$8))</f>
        <v/>
      </c>
      <c r="U39" s="22">
        <f>U38*(1-MIN(1,Assumptions!$H$71*Sensitivity!$C$8))</f>
        <v/>
      </c>
      <c r="V39" s="22">
        <f>V38*(1-MIN(1,Assumptions!$H$71*Sensitivity!$C$8))</f>
        <v/>
      </c>
      <c r="W39" s="22">
        <f>W38*(1-MIN(1,Assumptions!$H$71*Sensitivity!$C$8))</f>
        <v/>
      </c>
      <c r="X39" s="22">
        <f>X38*(1-MIN(1,Assumptions!$H$71*Sensitivity!$C$8))</f>
        <v/>
      </c>
      <c r="Y39" s="22">
        <f>Y38*(1-MIN(1,Assumptions!$H$71*Sensitivity!$C$8))</f>
        <v/>
      </c>
      <c r="Z39" s="22">
        <f>Z38*(1-MIN(1,Assumptions!$H$71*Sensitivity!$C$8))</f>
        <v/>
      </c>
      <c r="AA39" s="22">
        <f>AA38*(1-MIN(1,Assumptions!$H$71*Sensitivity!$C$8))</f>
        <v/>
      </c>
      <c r="AB39" s="22">
        <f>AB38*(1-MIN(1,Assumptions!$H$71*Sensitivity!$C$8))</f>
        <v/>
      </c>
      <c r="AC39" s="22">
        <f>AC38*(1-MIN(1,Assumptions!$H$71*Sensitivity!$C$8))</f>
        <v/>
      </c>
      <c r="AD39" s="22">
        <f>AD38*(1-MIN(1,Assumptions!$H$71*Sensitivity!$C$8))</f>
        <v/>
      </c>
      <c r="AE39" s="22">
        <f>AE38*(1-MIN(1,Assumptions!$H$71*Sensitivity!$C$8))</f>
        <v/>
      </c>
      <c r="AF39" s="22">
        <f>AF38*(1-MIN(1,Assumptions!$H$71*Sensitivity!$C$8))</f>
        <v/>
      </c>
      <c r="AG39" s="22">
        <f>AG38*(1-MIN(1,Assumptions!$H$71*Sensitivity!$C$8))</f>
        <v/>
      </c>
      <c r="AH39" s="22">
        <f>AH38*(1-MIN(1,Assumptions!$H$71*Sensitivity!$C$8))</f>
        <v/>
      </c>
      <c r="AI39" s="22">
        <f>AI38*(1-MIN(1,Assumptions!$H$71*Sensitivity!$C$8))</f>
        <v/>
      </c>
      <c r="AJ39" s="22">
        <f>AJ38*(1-MIN(1,Assumptions!$H$71*Sensitivity!$C$8))</f>
        <v/>
      </c>
      <c r="AK39" s="22">
        <f>AK38*(1-MIN(1,Assumptions!$H$71*Sensitivity!$C$8))</f>
        <v/>
      </c>
      <c r="AL39" s="22">
        <f>AL38*(1-MIN(1,Assumptions!$H$71*Sensitivity!$C$8))</f>
        <v/>
      </c>
      <c r="AM39" s="22">
        <f>AM38*(1-MIN(1,Assumptions!$H$71*Sensitivity!$C$8))</f>
        <v/>
      </c>
      <c r="AN39" s="22">
        <f>AN38*(1-MIN(1,Assumptions!$H$71*Sensitivity!$C$8))</f>
        <v/>
      </c>
      <c r="AO39" s="22">
        <f>AO38*(1-MIN(1,Assumptions!$H$71*Sensitivity!$C$8))</f>
        <v/>
      </c>
      <c r="AP39" s="22">
        <f>AP38*(1-MIN(1,Assumptions!$H$71*Sensitivity!$C$8))</f>
        <v/>
      </c>
      <c r="AQ39" s="22">
        <f>AQ38*(1-MIN(1,Assumptions!$H$71*Sensitivity!$C$8))</f>
        <v/>
      </c>
      <c r="AR39" s="22">
        <f>AR38*(1-MIN(1,Assumptions!$H$71*Sensitivity!$C$8))</f>
        <v/>
      </c>
      <c r="AS39" s="22">
        <f>AS38*(1-MIN(1,Assumptions!$H$71*Sensitivity!$C$8))</f>
        <v/>
      </c>
      <c r="AT39" s="22">
        <f>AT38*(1-MIN(1,Assumptions!$H$71*Sensitivity!$C$8))</f>
        <v/>
      </c>
      <c r="AU39" s="22">
        <f>AU38*(1-MIN(1,Assumptions!$H$71*Sensitivity!$C$8))</f>
        <v/>
      </c>
      <c r="AV39" s="22">
        <f>AV38*(1-MIN(1,Assumptions!$H$71*Sensitivity!$C$8))</f>
        <v/>
      </c>
      <c r="AW39" s="22">
        <f>AW38*(1-MIN(1,Assumptions!$H$71*Sensitivity!$C$8))</f>
        <v/>
      </c>
      <c r="AX39" s="22">
        <f>AX38*(1-MIN(1,Assumptions!$H$71*Sensitivity!$C$8))</f>
        <v/>
      </c>
      <c r="AY39" s="22">
        <f>AY38*(1-MIN(1,Assumptions!$H$71*Sensitivity!$C$8))</f>
        <v/>
      </c>
      <c r="AZ39" s="22">
        <f>AZ38*(1-MIN(1,Assumptions!$H$71*Sensitivity!$C$8))</f>
        <v/>
      </c>
      <c r="BA39" s="22">
        <f>BA38*(1-MIN(1,Assumptions!$H$71*Sensitivity!$C$8))</f>
        <v/>
      </c>
      <c r="BB39" s="22">
        <f>BB38*(1-MIN(1,Assumptions!$H$71*Sensitivity!$C$8))</f>
        <v/>
      </c>
      <c r="BC39" s="22">
        <f>BC38*(1-MIN(1,Assumptions!$H$71*Sensitivity!$C$8))</f>
        <v/>
      </c>
      <c r="BD39" s="22">
        <f>BD38*(1-MIN(1,Assumptions!$H$71*Sensitivity!$C$8))</f>
        <v/>
      </c>
      <c r="BE39" s="22">
        <f>BE38*(1-MIN(1,Assumptions!$H$71*Sensitivity!$C$8))</f>
        <v/>
      </c>
      <c r="BF39" s="22">
        <f>BF38*(1-MIN(1,Assumptions!$H$71*Sensitivity!$C$8))</f>
        <v/>
      </c>
      <c r="BG39" s="22">
        <f>BG38*(1-MIN(1,Assumptions!$H$71*Sensitivity!$C$8))</f>
        <v/>
      </c>
      <c r="BH39" s="22">
        <f>BH38*(1-MIN(1,Assumptions!$H$71*Sensitivity!$C$8))</f>
        <v/>
      </c>
      <c r="BI39" s="22">
        <f>BI38*(1-MIN(1,Assumptions!$H$71*Sensitivity!$C$8))</f>
        <v/>
      </c>
      <c r="BJ39" s="22">
        <f>BJ38*(1-MIN(1,Assumptions!$H$71*Sensitivity!$C$8))</f>
        <v/>
      </c>
      <c r="BK39" s="22">
        <f>BK38*(1-MIN(1,Assumptions!$H$71*Sensitivity!$C$8))</f>
        <v/>
      </c>
      <c r="BL39" s="22">
        <f>BL38*(1-MIN(1,Assumptions!$H$71*Sensitivity!$C$8))</f>
        <v/>
      </c>
      <c r="BM39" s="22">
        <f>BM38*(1-MIN(1,Assumptions!$H$71*Sensitivity!$C$8))</f>
        <v/>
      </c>
      <c r="BN39" s="22">
        <f>BN38*(1-MIN(1,Assumptions!$H$71*Sensitivity!$C$8))</f>
        <v/>
      </c>
      <c r="BO39" s="22">
        <f>BO38*(1-MIN(1,Assumptions!$H$71*Sensitivity!$C$8))</f>
        <v/>
      </c>
      <c r="BP39" s="22">
        <f>BP38*(1-MIN(1,Assumptions!$H$71*Sensitivity!$C$8))</f>
        <v/>
      </c>
      <c r="BQ39" s="22">
        <f>BQ38*(1-MIN(1,Assumptions!$H$71*Sensitivity!$C$8))</f>
        <v/>
      </c>
      <c r="BR39" s="22">
        <f>BR38*(1-MIN(1,Assumptions!$H$71*Sensitivity!$C$8))</f>
        <v/>
      </c>
      <c r="BS39" s="22">
        <f>BS38*(1-MIN(1,Assumptions!$H$71*Sensitivity!$C$8))</f>
        <v/>
      </c>
      <c r="BT39" s="22">
        <f>BT38*(1-MIN(1,Assumptions!$H$71*Sensitivity!$C$8))</f>
        <v/>
      </c>
      <c r="BU39" s="22">
        <f>BU38*(1-MIN(1,Assumptions!$H$71*Sensitivity!$C$8))</f>
        <v/>
      </c>
      <c r="BV39" s="22">
        <f>BV38*(1-MIN(1,Assumptions!$H$71*Sensitivity!$C$8))</f>
        <v/>
      </c>
      <c r="BW39" s="22">
        <f>BW38*(1-MIN(1,Assumptions!$H$71*Sensitivity!$C$8))</f>
        <v/>
      </c>
      <c r="BX39" s="22">
        <f>BX38*(1-MIN(1,Assumptions!$H$71*Sensitivity!$C$8))</f>
        <v/>
      </c>
      <c r="BY39" s="22">
        <f>BY38*(1-MIN(1,Assumptions!$H$71*Sensitivity!$C$8))</f>
        <v/>
      </c>
      <c r="BZ39" s="22">
        <f>BZ38*(1-MIN(1,Assumptions!$H$71*Sensitivity!$C$8))</f>
        <v/>
      </c>
      <c r="CA39" s="22">
        <f>CA38*(1-MIN(1,Assumptions!$H$71*Sensitivity!$C$8))</f>
        <v/>
      </c>
      <c r="CB39" s="22">
        <f>CB38*(1-MIN(1,Assumptions!$H$71*Sensitivity!$C$8))</f>
        <v/>
      </c>
      <c r="CC39" s="22">
        <f>CC38*(1-MIN(1,Assumptions!$H$71*Sensitivity!$C$8))</f>
        <v/>
      </c>
      <c r="CD39" s="22">
        <f>CD38*(1-MIN(1,Assumptions!$H$71*Sensitivity!$C$8))</f>
        <v/>
      </c>
      <c r="CE39" s="22">
        <f>CE38*(1-MIN(1,Assumptions!$H$71*Sensitivity!$C$8))</f>
        <v/>
      </c>
      <c r="CF39" s="22">
        <f>CF38*(1-MIN(1,Assumptions!$H$71*Sensitivity!$C$8))</f>
        <v/>
      </c>
      <c r="CG39" s="22">
        <f>CG38*(1-MIN(1,Assumptions!$H$71*Sensitivity!$C$8))</f>
        <v/>
      </c>
      <c r="CH39" s="22">
        <f>CH38*(1-MIN(1,Assumptions!$H$71*Sensitivity!$C$8))</f>
        <v/>
      </c>
      <c r="CI39" s="22">
        <f>CI38*(1-MIN(1,Assumptions!$H$71*Sensitivity!$C$8))</f>
        <v/>
      </c>
      <c r="CJ39" s="22">
        <f>CJ38*(1-MIN(1,Assumptions!$H$71*Sensitivity!$C$8))</f>
        <v/>
      </c>
      <c r="CK39" s="22">
        <f>CK38*(1-MIN(1,Assumptions!$H$71*Sensitivity!$C$8))</f>
        <v/>
      </c>
      <c r="CL39" s="22">
        <f>CL38*(1-MIN(1,Assumptions!$H$71*Sensitivity!$C$8))</f>
        <v/>
      </c>
      <c r="CM39" s="22">
        <f>CM38*(1-MIN(1,Assumptions!$H$71*Sensitivity!$C$8))</f>
        <v/>
      </c>
      <c r="CN39" s="22">
        <f>CN38*(1-MIN(1,Assumptions!$H$71*Sensitivity!$C$8))</f>
        <v/>
      </c>
      <c r="CO39" s="22">
        <f>CO38*(1-MIN(1,Assumptions!$H$71*Sensitivity!$C$8))</f>
        <v/>
      </c>
      <c r="CP39" s="22">
        <f>CP38*(1-MIN(1,Assumptions!$H$71*Sensitivity!$C$8))</f>
        <v/>
      </c>
      <c r="CQ39" s="22">
        <f>CQ38*(1-MIN(1,Assumptions!$H$71*Sensitivity!$C$8))</f>
        <v/>
      </c>
      <c r="CR39" s="22">
        <f>CR38*(1-MIN(1,Assumptions!$H$71*Sensitivity!$C$8))</f>
        <v/>
      </c>
      <c r="CS39" s="22">
        <f>CS38*(1-MIN(1,Assumptions!$H$71*Sensitivity!$C$8))</f>
        <v/>
      </c>
      <c r="CT39" s="22">
        <f>CT38*(1-MIN(1,Assumptions!$H$71*Sensitivity!$C$8))</f>
        <v/>
      </c>
      <c r="CU39" s="22">
        <f>CU38*(1-MIN(1,Assumptions!$H$71*Sensitivity!$C$8))</f>
        <v/>
      </c>
      <c r="CV39" s="22">
        <f>CV38*(1-MIN(1,Assumptions!$H$71*Sensitivity!$C$8))</f>
        <v/>
      </c>
      <c r="CW39" s="22">
        <f>CW38*(1-MIN(1,Assumptions!$H$71*Sensitivity!$C$8))</f>
        <v/>
      </c>
      <c r="CX39" s="22">
        <f>CX38*(1-MIN(1,Assumptions!$H$71*Sensitivity!$C$8))</f>
        <v/>
      </c>
      <c r="CY39" s="22">
        <f>CY38*(1-MIN(1,Assumptions!$H$71*Sensitivity!$C$8))</f>
        <v/>
      </c>
      <c r="CZ39" s="22">
        <f>CZ38*(1-MIN(1,Assumptions!$H$71*Sensitivity!$C$8))</f>
        <v/>
      </c>
      <c r="DA39" s="22">
        <f>DA38*(1-MIN(1,Assumptions!$H$71*Sensitivity!$C$8))</f>
        <v/>
      </c>
      <c r="DB39" s="22">
        <f>DB38*(1-MIN(1,Assumptions!$H$71*Sensitivity!$C$8))</f>
        <v/>
      </c>
      <c r="DC39" s="22">
        <f>DC38*(1-MIN(1,Assumptions!$H$71*Sensitivity!$C$8))</f>
        <v/>
      </c>
      <c r="DD39" s="22">
        <f>DD38*(1-MIN(1,Assumptions!$H$71*Sensitivity!$C$8))</f>
        <v/>
      </c>
      <c r="DE39" s="22">
        <f>DE38*(1-MIN(1,Assumptions!$H$71*Sensitivity!$C$8))</f>
        <v/>
      </c>
      <c r="DF39" s="22">
        <f>DF38*(1-MIN(1,Assumptions!$H$71*Sensitivity!$C$8))</f>
        <v/>
      </c>
      <c r="DG39" s="22">
        <f>DG38*(1-MIN(1,Assumptions!$H$71*Sensitivity!$C$8))</f>
        <v/>
      </c>
      <c r="DH39" s="22">
        <f>DH38*(1-MIN(1,Assumptions!$H$71*Sensitivity!$C$8))</f>
        <v/>
      </c>
      <c r="DI39" s="22">
        <f>DI38*(1-MIN(1,Assumptions!$H$71*Sensitivity!$C$8))</f>
        <v/>
      </c>
      <c r="DJ39" s="22">
        <f>DJ38*(1-MIN(1,Assumptions!$H$71*Sensitivity!$C$8))</f>
        <v/>
      </c>
      <c r="DK39" s="22">
        <f>DK38*(1-MIN(1,Assumptions!$H$71*Sensitivity!$C$8))</f>
        <v/>
      </c>
      <c r="DL39" s="22">
        <f>DL38*(1-MIN(1,Assumptions!$H$71*Sensitivity!$C$8))</f>
        <v/>
      </c>
      <c r="DM39" s="22">
        <f>DM38*(1-MIN(1,Assumptions!$H$71*Sensitivity!$C$8))</f>
        <v/>
      </c>
      <c r="DN39" s="22">
        <f>DN38*(1-MIN(1,Assumptions!$H$71*Sensitivity!$C$8))</f>
        <v/>
      </c>
      <c r="DO39" s="22">
        <f>DO38*(1-MIN(1,Assumptions!$H$71*Sensitivity!$C$8))</f>
        <v/>
      </c>
      <c r="DP39" s="22">
        <f>DP38*(1-MIN(1,Assumptions!$H$71*Sensitivity!$C$8))</f>
        <v/>
      </c>
      <c r="DQ39" s="22">
        <f>DQ38*(1-MIN(1,Assumptions!$H$71*Sensitivity!$C$8))</f>
        <v/>
      </c>
      <c r="DR39" s="22">
        <f>DR38*(1-MIN(1,Assumptions!$H$71*Sensitivity!$C$8))</f>
        <v/>
      </c>
      <c r="DS39" s="22">
        <f>DS38*(1-MIN(1,Assumptions!$H$71*Sensitivity!$C$8))</f>
        <v/>
      </c>
    </row>
    <row r="40">
      <c r="A40" s="2" t="inlineStr">
        <is>
          <t>SH_YREACH</t>
        </is>
      </c>
      <c r="B40" s="6" t="inlineStr">
        <is>
          <t>Young reaching sale age (9 months)</t>
        </is>
      </c>
      <c r="C40" s="2" t="inlineStr">
        <is>
          <t>head</t>
        </is>
      </c>
      <c r="D40" s="22">
        <f>0</f>
        <v/>
      </c>
      <c r="E40" s="22">
        <f>0</f>
        <v/>
      </c>
      <c r="F40" s="22">
        <f>0</f>
        <v/>
      </c>
      <c r="G40" s="22">
        <f>0</f>
        <v/>
      </c>
      <c r="H40" s="22">
        <f>0</f>
        <v/>
      </c>
      <c r="I40" s="22">
        <f>0</f>
        <v/>
      </c>
      <c r="J40" s="22">
        <f>0</f>
        <v/>
      </c>
      <c r="K40" s="22">
        <f>0</f>
        <v/>
      </c>
      <c r="L40" s="22">
        <f>0</f>
        <v/>
      </c>
      <c r="M40" s="22">
        <f>D39</f>
        <v/>
      </c>
      <c r="N40" s="22">
        <f>E39</f>
        <v/>
      </c>
      <c r="O40" s="22">
        <f>F39</f>
        <v/>
      </c>
      <c r="P40" s="22">
        <f>G39</f>
        <v/>
      </c>
      <c r="Q40" s="22">
        <f>H39</f>
        <v/>
      </c>
      <c r="R40" s="22">
        <f>I39</f>
        <v/>
      </c>
      <c r="S40" s="22">
        <f>J39</f>
        <v/>
      </c>
      <c r="T40" s="22">
        <f>K39</f>
        <v/>
      </c>
      <c r="U40" s="22">
        <f>L39</f>
        <v/>
      </c>
      <c r="V40" s="22">
        <f>M39</f>
        <v/>
      </c>
      <c r="W40" s="22">
        <f>N39</f>
        <v/>
      </c>
      <c r="X40" s="22">
        <f>O39</f>
        <v/>
      </c>
      <c r="Y40" s="22">
        <f>P39</f>
        <v/>
      </c>
      <c r="Z40" s="22">
        <f>Q39</f>
        <v/>
      </c>
      <c r="AA40" s="22">
        <f>R39</f>
        <v/>
      </c>
      <c r="AB40" s="22">
        <f>S39</f>
        <v/>
      </c>
      <c r="AC40" s="22">
        <f>T39</f>
        <v/>
      </c>
      <c r="AD40" s="22">
        <f>U39</f>
        <v/>
      </c>
      <c r="AE40" s="22">
        <f>V39</f>
        <v/>
      </c>
      <c r="AF40" s="22">
        <f>W39</f>
        <v/>
      </c>
      <c r="AG40" s="22">
        <f>X39</f>
        <v/>
      </c>
      <c r="AH40" s="22">
        <f>Y39</f>
        <v/>
      </c>
      <c r="AI40" s="22">
        <f>Z39</f>
        <v/>
      </c>
      <c r="AJ40" s="22">
        <f>AA39</f>
        <v/>
      </c>
      <c r="AK40" s="22">
        <f>AB39</f>
        <v/>
      </c>
      <c r="AL40" s="22">
        <f>AC39</f>
        <v/>
      </c>
      <c r="AM40" s="22">
        <f>AD39</f>
        <v/>
      </c>
      <c r="AN40" s="22">
        <f>AE39</f>
        <v/>
      </c>
      <c r="AO40" s="22">
        <f>AF39</f>
        <v/>
      </c>
      <c r="AP40" s="22">
        <f>AG39</f>
        <v/>
      </c>
      <c r="AQ40" s="22">
        <f>AH39</f>
        <v/>
      </c>
      <c r="AR40" s="22">
        <f>AI39</f>
        <v/>
      </c>
      <c r="AS40" s="22">
        <f>AJ39</f>
        <v/>
      </c>
      <c r="AT40" s="22">
        <f>AK39</f>
        <v/>
      </c>
      <c r="AU40" s="22">
        <f>AL39</f>
        <v/>
      </c>
      <c r="AV40" s="22">
        <f>AM39</f>
        <v/>
      </c>
      <c r="AW40" s="22">
        <f>AN39</f>
        <v/>
      </c>
      <c r="AX40" s="22">
        <f>AO39</f>
        <v/>
      </c>
      <c r="AY40" s="22">
        <f>AP39</f>
        <v/>
      </c>
      <c r="AZ40" s="22">
        <f>AQ39</f>
        <v/>
      </c>
      <c r="BA40" s="22">
        <f>AR39</f>
        <v/>
      </c>
      <c r="BB40" s="22">
        <f>AS39</f>
        <v/>
      </c>
      <c r="BC40" s="22">
        <f>AT39</f>
        <v/>
      </c>
      <c r="BD40" s="22">
        <f>AU39</f>
        <v/>
      </c>
      <c r="BE40" s="22">
        <f>AV39</f>
        <v/>
      </c>
      <c r="BF40" s="22">
        <f>AW39</f>
        <v/>
      </c>
      <c r="BG40" s="22">
        <f>AX39</f>
        <v/>
      </c>
      <c r="BH40" s="22">
        <f>AY39</f>
        <v/>
      </c>
      <c r="BI40" s="22">
        <f>AZ39</f>
        <v/>
      </c>
      <c r="BJ40" s="22">
        <f>BA39</f>
        <v/>
      </c>
      <c r="BK40" s="22">
        <f>BB39</f>
        <v/>
      </c>
      <c r="BL40" s="22">
        <f>BC39</f>
        <v/>
      </c>
      <c r="BM40" s="22">
        <f>BD39</f>
        <v/>
      </c>
      <c r="BN40" s="22">
        <f>BE39</f>
        <v/>
      </c>
      <c r="BO40" s="22">
        <f>BF39</f>
        <v/>
      </c>
      <c r="BP40" s="22">
        <f>BG39</f>
        <v/>
      </c>
      <c r="BQ40" s="22">
        <f>BH39</f>
        <v/>
      </c>
      <c r="BR40" s="22">
        <f>BI39</f>
        <v/>
      </c>
      <c r="BS40" s="22">
        <f>BJ39</f>
        <v/>
      </c>
      <c r="BT40" s="22">
        <f>BK39</f>
        <v/>
      </c>
      <c r="BU40" s="22">
        <f>BL39</f>
        <v/>
      </c>
      <c r="BV40" s="22">
        <f>BM39</f>
        <v/>
      </c>
      <c r="BW40" s="22">
        <f>BN39</f>
        <v/>
      </c>
      <c r="BX40" s="22">
        <f>BO39</f>
        <v/>
      </c>
      <c r="BY40" s="22">
        <f>BP39</f>
        <v/>
      </c>
      <c r="BZ40" s="22">
        <f>BQ39</f>
        <v/>
      </c>
      <c r="CA40" s="22">
        <f>BR39</f>
        <v/>
      </c>
      <c r="CB40" s="22">
        <f>BS39</f>
        <v/>
      </c>
      <c r="CC40" s="22">
        <f>BT39</f>
        <v/>
      </c>
      <c r="CD40" s="22">
        <f>BU39</f>
        <v/>
      </c>
      <c r="CE40" s="22">
        <f>BV39</f>
        <v/>
      </c>
      <c r="CF40" s="22">
        <f>BW39</f>
        <v/>
      </c>
      <c r="CG40" s="22">
        <f>BX39</f>
        <v/>
      </c>
      <c r="CH40" s="22">
        <f>BY39</f>
        <v/>
      </c>
      <c r="CI40" s="22">
        <f>BZ39</f>
        <v/>
      </c>
      <c r="CJ40" s="22">
        <f>CA39</f>
        <v/>
      </c>
      <c r="CK40" s="22">
        <f>CB39</f>
        <v/>
      </c>
      <c r="CL40" s="22">
        <f>CC39</f>
        <v/>
      </c>
      <c r="CM40" s="22">
        <f>CD39</f>
        <v/>
      </c>
      <c r="CN40" s="22">
        <f>CE39</f>
        <v/>
      </c>
      <c r="CO40" s="22">
        <f>CF39</f>
        <v/>
      </c>
      <c r="CP40" s="22">
        <f>CG39</f>
        <v/>
      </c>
      <c r="CQ40" s="22">
        <f>CH39</f>
        <v/>
      </c>
      <c r="CR40" s="22">
        <f>CI39</f>
        <v/>
      </c>
      <c r="CS40" s="22">
        <f>CJ39</f>
        <v/>
      </c>
      <c r="CT40" s="22">
        <f>CK39</f>
        <v/>
      </c>
      <c r="CU40" s="22">
        <f>CL39</f>
        <v/>
      </c>
      <c r="CV40" s="22">
        <f>CM39</f>
        <v/>
      </c>
      <c r="CW40" s="22">
        <f>CN39</f>
        <v/>
      </c>
      <c r="CX40" s="22">
        <f>CO39</f>
        <v/>
      </c>
      <c r="CY40" s="22">
        <f>CP39</f>
        <v/>
      </c>
      <c r="CZ40" s="22">
        <f>CQ39</f>
        <v/>
      </c>
      <c r="DA40" s="22">
        <f>CR39</f>
        <v/>
      </c>
      <c r="DB40" s="22">
        <f>CS39</f>
        <v/>
      </c>
      <c r="DC40" s="22">
        <f>CT39</f>
        <v/>
      </c>
      <c r="DD40" s="22">
        <f>CU39</f>
        <v/>
      </c>
      <c r="DE40" s="22">
        <f>CV39</f>
        <v/>
      </c>
      <c r="DF40" s="22">
        <f>CW39</f>
        <v/>
      </c>
      <c r="DG40" s="22">
        <f>CX39</f>
        <v/>
      </c>
      <c r="DH40" s="22">
        <f>CY39</f>
        <v/>
      </c>
      <c r="DI40" s="22">
        <f>CZ39</f>
        <v/>
      </c>
      <c r="DJ40" s="22">
        <f>DA39</f>
        <v/>
      </c>
      <c r="DK40" s="22">
        <f>DB39</f>
        <v/>
      </c>
      <c r="DL40" s="22">
        <f>DC39</f>
        <v/>
      </c>
      <c r="DM40" s="22">
        <f>DD39</f>
        <v/>
      </c>
      <c r="DN40" s="22">
        <f>DE39</f>
        <v/>
      </c>
      <c r="DO40" s="22">
        <f>DF39</f>
        <v/>
      </c>
      <c r="DP40" s="22">
        <f>DG39</f>
        <v/>
      </c>
      <c r="DQ40" s="22">
        <f>DH39</f>
        <v/>
      </c>
      <c r="DR40" s="22">
        <f>DI39</f>
        <v/>
      </c>
      <c r="DS40" s="22">
        <f>DJ39</f>
        <v/>
      </c>
    </row>
    <row r="41">
      <c r="A41" s="2" t="inlineStr">
        <is>
          <t>SH_RETAINED</t>
        </is>
      </c>
      <c r="B41" s="6" t="inlineStr">
        <is>
          <t>Female young kept as replacements</t>
        </is>
      </c>
      <c r="C41" s="2" t="inlineStr">
        <is>
          <t>head</t>
        </is>
      </c>
      <c r="D41" s="22">
        <f>MIN(D40*Assumptions!$H$119*Models!$H$36,MAX(0,Models!$H$34-(D35-D36-D37+D33)))</f>
        <v/>
      </c>
      <c r="E41" s="22">
        <f>MIN(E40*Assumptions!$H$119*Models!$H$36,MAX(0,Models!$H$34-(E35-E36-E37+E33)))</f>
        <v/>
      </c>
      <c r="F41" s="22">
        <f>MIN(F40*Assumptions!$H$119*Models!$H$36,MAX(0,Models!$H$34-(F35-F36-F37+F33)))</f>
        <v/>
      </c>
      <c r="G41" s="22">
        <f>MIN(G40*Assumptions!$H$119*Models!$H$36,MAX(0,Models!$H$34-(G35-G36-G37+G33)))</f>
        <v/>
      </c>
      <c r="H41" s="22">
        <f>MIN(H40*Assumptions!$H$119*Models!$H$36,MAX(0,Models!$H$34-(H35-H36-H37+H33)))</f>
        <v/>
      </c>
      <c r="I41" s="22">
        <f>MIN(I40*Assumptions!$H$119*Models!$H$36,MAX(0,Models!$H$34-(I35-I36-I37+I33)))</f>
        <v/>
      </c>
      <c r="J41" s="22">
        <f>MIN(J40*Assumptions!$H$119*Models!$H$36,MAX(0,Models!$H$34-(J35-J36-J37+J33)))</f>
        <v/>
      </c>
      <c r="K41" s="22">
        <f>MIN(K40*Assumptions!$H$119*Models!$H$36,MAX(0,Models!$H$34-(K35-K36-K37+K33)))</f>
        <v/>
      </c>
      <c r="L41" s="22">
        <f>MIN(L40*Assumptions!$H$119*Models!$H$36,MAX(0,Models!$H$34-(L35-L36-L37+L33)))</f>
        <v/>
      </c>
      <c r="M41" s="22">
        <f>MIN(M40*Assumptions!$H$119*Models!$H$36,MAX(0,Models!$H$34-(M35-M36-M37+M33)))</f>
        <v/>
      </c>
      <c r="N41" s="22">
        <f>MIN(N40*Assumptions!$H$119*Models!$H$36,MAX(0,Models!$H$34-(N35-N36-N37+N33)))</f>
        <v/>
      </c>
      <c r="O41" s="22">
        <f>MIN(O40*Assumptions!$H$119*Models!$H$36,MAX(0,Models!$H$34-(O35-O36-O37+O33)))</f>
        <v/>
      </c>
      <c r="P41" s="22">
        <f>MIN(P40*Assumptions!$H$119*Models!$H$36,MAX(0,Models!$H$34-(P35-P36-P37+P33)))</f>
        <v/>
      </c>
      <c r="Q41" s="22">
        <f>MIN(Q40*Assumptions!$H$119*Models!$H$36,MAX(0,Models!$H$34-(Q35-Q36-Q37+Q33)))</f>
        <v/>
      </c>
      <c r="R41" s="22">
        <f>MIN(R40*Assumptions!$H$119*Models!$H$36,MAX(0,Models!$H$34-(R35-R36-R37+R33)))</f>
        <v/>
      </c>
      <c r="S41" s="22">
        <f>MIN(S40*Assumptions!$H$119*Models!$H$36,MAX(0,Models!$H$34-(S35-S36-S37+S33)))</f>
        <v/>
      </c>
      <c r="T41" s="22">
        <f>MIN(T40*Assumptions!$H$119*Models!$H$36,MAX(0,Models!$H$34-(T35-T36-T37+T33)))</f>
        <v/>
      </c>
      <c r="U41" s="22">
        <f>MIN(U40*Assumptions!$H$119*Models!$H$36,MAX(0,Models!$H$34-(U35-U36-U37+U33)))</f>
        <v/>
      </c>
      <c r="V41" s="22">
        <f>MIN(V40*Assumptions!$H$119*Models!$H$36,MAX(0,Models!$H$34-(V35-V36-V37+V33)))</f>
        <v/>
      </c>
      <c r="W41" s="22">
        <f>MIN(W40*Assumptions!$H$119*Models!$H$36,MAX(0,Models!$H$34-(W35-W36-W37+W33)))</f>
        <v/>
      </c>
      <c r="X41" s="22">
        <f>MIN(X40*Assumptions!$H$119*Models!$H$36,MAX(0,Models!$H$34-(X35-X36-X37+X33)))</f>
        <v/>
      </c>
      <c r="Y41" s="22">
        <f>MIN(Y40*Assumptions!$H$119*Models!$H$36,MAX(0,Models!$H$34-(Y35-Y36-Y37+Y33)))</f>
        <v/>
      </c>
      <c r="Z41" s="22">
        <f>MIN(Z40*Assumptions!$H$119*Models!$H$36,MAX(0,Models!$H$34-(Z35-Z36-Z37+Z33)))</f>
        <v/>
      </c>
      <c r="AA41" s="22">
        <f>MIN(AA40*Assumptions!$H$119*Models!$H$36,MAX(0,Models!$H$34-(AA35-AA36-AA37+AA33)))</f>
        <v/>
      </c>
      <c r="AB41" s="22">
        <f>MIN(AB40*Assumptions!$H$119*Models!$H$36,MAX(0,Models!$H$34-(AB35-AB36-AB37+AB33)))</f>
        <v/>
      </c>
      <c r="AC41" s="22">
        <f>MIN(AC40*Assumptions!$H$119*Models!$H$36,MAX(0,Models!$H$34-(AC35-AC36-AC37+AC33)))</f>
        <v/>
      </c>
      <c r="AD41" s="22">
        <f>MIN(AD40*Assumptions!$H$119*Models!$H$36,MAX(0,Models!$H$34-(AD35-AD36-AD37+AD33)))</f>
        <v/>
      </c>
      <c r="AE41" s="22">
        <f>MIN(AE40*Assumptions!$H$119*Models!$H$36,MAX(0,Models!$H$34-(AE35-AE36-AE37+AE33)))</f>
        <v/>
      </c>
      <c r="AF41" s="22">
        <f>MIN(AF40*Assumptions!$H$119*Models!$H$36,MAX(0,Models!$H$34-(AF35-AF36-AF37+AF33)))</f>
        <v/>
      </c>
      <c r="AG41" s="22">
        <f>MIN(AG40*Assumptions!$H$119*Models!$H$36,MAX(0,Models!$H$34-(AG35-AG36-AG37+AG33)))</f>
        <v/>
      </c>
      <c r="AH41" s="22">
        <f>MIN(AH40*Assumptions!$H$119*Models!$H$36,MAX(0,Models!$H$34-(AH35-AH36-AH37+AH33)))</f>
        <v/>
      </c>
      <c r="AI41" s="22">
        <f>MIN(AI40*Assumptions!$H$119*Models!$H$36,MAX(0,Models!$H$34-(AI35-AI36-AI37+AI33)))</f>
        <v/>
      </c>
      <c r="AJ41" s="22">
        <f>MIN(AJ40*Assumptions!$H$119*Models!$H$36,MAX(0,Models!$H$34-(AJ35-AJ36-AJ37+AJ33)))</f>
        <v/>
      </c>
      <c r="AK41" s="22">
        <f>MIN(AK40*Assumptions!$H$119*Models!$H$36,MAX(0,Models!$H$34-(AK35-AK36-AK37+AK33)))</f>
        <v/>
      </c>
      <c r="AL41" s="22">
        <f>MIN(AL40*Assumptions!$H$119*Models!$H$36,MAX(0,Models!$H$34-(AL35-AL36-AL37+AL33)))</f>
        <v/>
      </c>
      <c r="AM41" s="22">
        <f>MIN(AM40*Assumptions!$H$119*Models!$H$36,MAX(0,Models!$H$34-(AM35-AM36-AM37+AM33)))</f>
        <v/>
      </c>
      <c r="AN41" s="22">
        <f>MIN(AN40*Assumptions!$H$119*Models!$H$36,MAX(0,Models!$H$34-(AN35-AN36-AN37+AN33)))</f>
        <v/>
      </c>
      <c r="AO41" s="22">
        <f>MIN(AO40*Assumptions!$H$119*Models!$H$36,MAX(0,Models!$H$34-(AO35-AO36-AO37+AO33)))</f>
        <v/>
      </c>
      <c r="AP41" s="22">
        <f>MIN(AP40*Assumptions!$H$119*Models!$H$36,MAX(0,Models!$H$34-(AP35-AP36-AP37+AP33)))</f>
        <v/>
      </c>
      <c r="AQ41" s="22">
        <f>MIN(AQ40*Assumptions!$H$119*Models!$H$36,MAX(0,Models!$H$34-(AQ35-AQ36-AQ37+AQ33)))</f>
        <v/>
      </c>
      <c r="AR41" s="22">
        <f>MIN(AR40*Assumptions!$H$119*Models!$H$36,MAX(0,Models!$H$34-(AR35-AR36-AR37+AR33)))</f>
        <v/>
      </c>
      <c r="AS41" s="22">
        <f>MIN(AS40*Assumptions!$H$119*Models!$H$36,MAX(0,Models!$H$34-(AS35-AS36-AS37+AS33)))</f>
        <v/>
      </c>
      <c r="AT41" s="22">
        <f>MIN(AT40*Assumptions!$H$119*Models!$H$36,MAX(0,Models!$H$34-(AT35-AT36-AT37+AT33)))</f>
        <v/>
      </c>
      <c r="AU41" s="22">
        <f>MIN(AU40*Assumptions!$H$119*Models!$H$36,MAX(0,Models!$H$34-(AU35-AU36-AU37+AU33)))</f>
        <v/>
      </c>
      <c r="AV41" s="22">
        <f>MIN(AV40*Assumptions!$H$119*Models!$H$36,MAX(0,Models!$H$34-(AV35-AV36-AV37+AV33)))</f>
        <v/>
      </c>
      <c r="AW41" s="22">
        <f>MIN(AW40*Assumptions!$H$119*Models!$H$36,MAX(0,Models!$H$34-(AW35-AW36-AW37+AW33)))</f>
        <v/>
      </c>
      <c r="AX41" s="22">
        <f>MIN(AX40*Assumptions!$H$119*Models!$H$36,MAX(0,Models!$H$34-(AX35-AX36-AX37+AX33)))</f>
        <v/>
      </c>
      <c r="AY41" s="22">
        <f>MIN(AY40*Assumptions!$H$119*Models!$H$36,MAX(0,Models!$H$34-(AY35-AY36-AY37+AY33)))</f>
        <v/>
      </c>
      <c r="AZ41" s="22">
        <f>MIN(AZ40*Assumptions!$H$119*Models!$H$36,MAX(0,Models!$H$34-(AZ35-AZ36-AZ37+AZ33)))</f>
        <v/>
      </c>
      <c r="BA41" s="22">
        <f>MIN(BA40*Assumptions!$H$119*Models!$H$36,MAX(0,Models!$H$34-(BA35-BA36-BA37+BA33)))</f>
        <v/>
      </c>
      <c r="BB41" s="22">
        <f>MIN(BB40*Assumptions!$H$119*Models!$H$36,MAX(0,Models!$H$34-(BB35-BB36-BB37+BB33)))</f>
        <v/>
      </c>
      <c r="BC41" s="22">
        <f>MIN(BC40*Assumptions!$H$119*Models!$H$36,MAX(0,Models!$H$34-(BC35-BC36-BC37+BC33)))</f>
        <v/>
      </c>
      <c r="BD41" s="22">
        <f>MIN(BD40*Assumptions!$H$119*Models!$H$36,MAX(0,Models!$H$34-(BD35-BD36-BD37+BD33)))</f>
        <v/>
      </c>
      <c r="BE41" s="22">
        <f>MIN(BE40*Assumptions!$H$119*Models!$H$36,MAX(0,Models!$H$34-(BE35-BE36-BE37+BE33)))</f>
        <v/>
      </c>
      <c r="BF41" s="22">
        <f>MIN(BF40*Assumptions!$H$119*Models!$H$36,MAX(0,Models!$H$34-(BF35-BF36-BF37+BF33)))</f>
        <v/>
      </c>
      <c r="BG41" s="22">
        <f>MIN(BG40*Assumptions!$H$119*Models!$H$36,MAX(0,Models!$H$34-(BG35-BG36-BG37+BG33)))</f>
        <v/>
      </c>
      <c r="BH41" s="22">
        <f>MIN(BH40*Assumptions!$H$119*Models!$H$36,MAX(0,Models!$H$34-(BH35-BH36-BH37+BH33)))</f>
        <v/>
      </c>
      <c r="BI41" s="22">
        <f>MIN(BI40*Assumptions!$H$119*Models!$H$36,MAX(0,Models!$H$34-(BI35-BI36-BI37+BI33)))</f>
        <v/>
      </c>
      <c r="BJ41" s="22">
        <f>MIN(BJ40*Assumptions!$H$119*Models!$H$36,MAX(0,Models!$H$34-(BJ35-BJ36-BJ37+BJ33)))</f>
        <v/>
      </c>
      <c r="BK41" s="22">
        <f>MIN(BK40*Assumptions!$H$119*Models!$H$36,MAX(0,Models!$H$34-(BK35-BK36-BK37+BK33)))</f>
        <v/>
      </c>
      <c r="BL41" s="22">
        <f>MIN(BL40*Assumptions!$H$119*Models!$H$36,MAX(0,Models!$H$34-(BL35-BL36-BL37+BL33)))</f>
        <v/>
      </c>
      <c r="BM41" s="22">
        <f>MIN(BM40*Assumptions!$H$119*Models!$H$36,MAX(0,Models!$H$34-(BM35-BM36-BM37+BM33)))</f>
        <v/>
      </c>
      <c r="BN41" s="22">
        <f>MIN(BN40*Assumptions!$H$119*Models!$H$36,MAX(0,Models!$H$34-(BN35-BN36-BN37+BN33)))</f>
        <v/>
      </c>
      <c r="BO41" s="22">
        <f>MIN(BO40*Assumptions!$H$119*Models!$H$36,MAX(0,Models!$H$34-(BO35-BO36-BO37+BO33)))</f>
        <v/>
      </c>
      <c r="BP41" s="22">
        <f>MIN(BP40*Assumptions!$H$119*Models!$H$36,MAX(0,Models!$H$34-(BP35-BP36-BP37+BP33)))</f>
        <v/>
      </c>
      <c r="BQ41" s="22">
        <f>MIN(BQ40*Assumptions!$H$119*Models!$H$36,MAX(0,Models!$H$34-(BQ35-BQ36-BQ37+BQ33)))</f>
        <v/>
      </c>
      <c r="BR41" s="22">
        <f>MIN(BR40*Assumptions!$H$119*Models!$H$36,MAX(0,Models!$H$34-(BR35-BR36-BR37+BR33)))</f>
        <v/>
      </c>
      <c r="BS41" s="22">
        <f>MIN(BS40*Assumptions!$H$119*Models!$H$36,MAX(0,Models!$H$34-(BS35-BS36-BS37+BS33)))</f>
        <v/>
      </c>
      <c r="BT41" s="22">
        <f>MIN(BT40*Assumptions!$H$119*Models!$H$36,MAX(0,Models!$H$34-(BT35-BT36-BT37+BT33)))</f>
        <v/>
      </c>
      <c r="BU41" s="22">
        <f>MIN(BU40*Assumptions!$H$119*Models!$H$36,MAX(0,Models!$H$34-(BU35-BU36-BU37+BU33)))</f>
        <v/>
      </c>
      <c r="BV41" s="22">
        <f>MIN(BV40*Assumptions!$H$119*Models!$H$36,MAX(0,Models!$H$34-(BV35-BV36-BV37+BV33)))</f>
        <v/>
      </c>
      <c r="BW41" s="22">
        <f>MIN(BW40*Assumptions!$H$119*Models!$H$36,MAX(0,Models!$H$34-(BW35-BW36-BW37+BW33)))</f>
        <v/>
      </c>
      <c r="BX41" s="22">
        <f>MIN(BX40*Assumptions!$H$119*Models!$H$36,MAX(0,Models!$H$34-(BX35-BX36-BX37+BX33)))</f>
        <v/>
      </c>
      <c r="BY41" s="22">
        <f>MIN(BY40*Assumptions!$H$119*Models!$H$36,MAX(0,Models!$H$34-(BY35-BY36-BY37+BY33)))</f>
        <v/>
      </c>
      <c r="BZ41" s="22">
        <f>MIN(BZ40*Assumptions!$H$119*Models!$H$36,MAX(0,Models!$H$34-(BZ35-BZ36-BZ37+BZ33)))</f>
        <v/>
      </c>
      <c r="CA41" s="22">
        <f>MIN(CA40*Assumptions!$H$119*Models!$H$36,MAX(0,Models!$H$34-(CA35-CA36-CA37+CA33)))</f>
        <v/>
      </c>
      <c r="CB41" s="22">
        <f>MIN(CB40*Assumptions!$H$119*Models!$H$36,MAX(0,Models!$H$34-(CB35-CB36-CB37+CB33)))</f>
        <v/>
      </c>
      <c r="CC41" s="22">
        <f>MIN(CC40*Assumptions!$H$119*Models!$H$36,MAX(0,Models!$H$34-(CC35-CC36-CC37+CC33)))</f>
        <v/>
      </c>
      <c r="CD41" s="22">
        <f>MIN(CD40*Assumptions!$H$119*Models!$H$36,MAX(0,Models!$H$34-(CD35-CD36-CD37+CD33)))</f>
        <v/>
      </c>
      <c r="CE41" s="22">
        <f>MIN(CE40*Assumptions!$H$119*Models!$H$36,MAX(0,Models!$H$34-(CE35-CE36-CE37+CE33)))</f>
        <v/>
      </c>
      <c r="CF41" s="22">
        <f>MIN(CF40*Assumptions!$H$119*Models!$H$36,MAX(0,Models!$H$34-(CF35-CF36-CF37+CF33)))</f>
        <v/>
      </c>
      <c r="CG41" s="22">
        <f>MIN(CG40*Assumptions!$H$119*Models!$H$36,MAX(0,Models!$H$34-(CG35-CG36-CG37+CG33)))</f>
        <v/>
      </c>
      <c r="CH41" s="22">
        <f>MIN(CH40*Assumptions!$H$119*Models!$H$36,MAX(0,Models!$H$34-(CH35-CH36-CH37+CH33)))</f>
        <v/>
      </c>
      <c r="CI41" s="22">
        <f>MIN(CI40*Assumptions!$H$119*Models!$H$36,MAX(0,Models!$H$34-(CI35-CI36-CI37+CI33)))</f>
        <v/>
      </c>
      <c r="CJ41" s="22">
        <f>MIN(CJ40*Assumptions!$H$119*Models!$H$36,MAX(0,Models!$H$34-(CJ35-CJ36-CJ37+CJ33)))</f>
        <v/>
      </c>
      <c r="CK41" s="22">
        <f>MIN(CK40*Assumptions!$H$119*Models!$H$36,MAX(0,Models!$H$34-(CK35-CK36-CK37+CK33)))</f>
        <v/>
      </c>
      <c r="CL41" s="22">
        <f>MIN(CL40*Assumptions!$H$119*Models!$H$36,MAX(0,Models!$H$34-(CL35-CL36-CL37+CL33)))</f>
        <v/>
      </c>
      <c r="CM41" s="22">
        <f>MIN(CM40*Assumptions!$H$119*Models!$H$36,MAX(0,Models!$H$34-(CM35-CM36-CM37+CM33)))</f>
        <v/>
      </c>
      <c r="CN41" s="22">
        <f>MIN(CN40*Assumptions!$H$119*Models!$H$36,MAX(0,Models!$H$34-(CN35-CN36-CN37+CN33)))</f>
        <v/>
      </c>
      <c r="CO41" s="22">
        <f>MIN(CO40*Assumptions!$H$119*Models!$H$36,MAX(0,Models!$H$34-(CO35-CO36-CO37+CO33)))</f>
        <v/>
      </c>
      <c r="CP41" s="22">
        <f>MIN(CP40*Assumptions!$H$119*Models!$H$36,MAX(0,Models!$H$34-(CP35-CP36-CP37+CP33)))</f>
        <v/>
      </c>
      <c r="CQ41" s="22">
        <f>MIN(CQ40*Assumptions!$H$119*Models!$H$36,MAX(0,Models!$H$34-(CQ35-CQ36-CQ37+CQ33)))</f>
        <v/>
      </c>
      <c r="CR41" s="22">
        <f>MIN(CR40*Assumptions!$H$119*Models!$H$36,MAX(0,Models!$H$34-(CR35-CR36-CR37+CR33)))</f>
        <v/>
      </c>
      <c r="CS41" s="22">
        <f>MIN(CS40*Assumptions!$H$119*Models!$H$36,MAX(0,Models!$H$34-(CS35-CS36-CS37+CS33)))</f>
        <v/>
      </c>
      <c r="CT41" s="22">
        <f>MIN(CT40*Assumptions!$H$119*Models!$H$36,MAX(0,Models!$H$34-(CT35-CT36-CT37+CT33)))</f>
        <v/>
      </c>
      <c r="CU41" s="22">
        <f>MIN(CU40*Assumptions!$H$119*Models!$H$36,MAX(0,Models!$H$34-(CU35-CU36-CU37+CU33)))</f>
        <v/>
      </c>
      <c r="CV41" s="22">
        <f>MIN(CV40*Assumptions!$H$119*Models!$H$36,MAX(0,Models!$H$34-(CV35-CV36-CV37+CV33)))</f>
        <v/>
      </c>
      <c r="CW41" s="22">
        <f>MIN(CW40*Assumptions!$H$119*Models!$H$36,MAX(0,Models!$H$34-(CW35-CW36-CW37+CW33)))</f>
        <v/>
      </c>
      <c r="CX41" s="22">
        <f>MIN(CX40*Assumptions!$H$119*Models!$H$36,MAX(0,Models!$H$34-(CX35-CX36-CX37+CX33)))</f>
        <v/>
      </c>
      <c r="CY41" s="22">
        <f>MIN(CY40*Assumptions!$H$119*Models!$H$36,MAX(0,Models!$H$34-(CY35-CY36-CY37+CY33)))</f>
        <v/>
      </c>
      <c r="CZ41" s="22">
        <f>MIN(CZ40*Assumptions!$H$119*Models!$H$36,MAX(0,Models!$H$34-(CZ35-CZ36-CZ37+CZ33)))</f>
        <v/>
      </c>
      <c r="DA41" s="22">
        <f>MIN(DA40*Assumptions!$H$119*Models!$H$36,MAX(0,Models!$H$34-(DA35-DA36-DA37+DA33)))</f>
        <v/>
      </c>
      <c r="DB41" s="22">
        <f>MIN(DB40*Assumptions!$H$119*Models!$H$36,MAX(0,Models!$H$34-(DB35-DB36-DB37+DB33)))</f>
        <v/>
      </c>
      <c r="DC41" s="22">
        <f>MIN(DC40*Assumptions!$H$119*Models!$H$36,MAX(0,Models!$H$34-(DC35-DC36-DC37+DC33)))</f>
        <v/>
      </c>
      <c r="DD41" s="22">
        <f>MIN(DD40*Assumptions!$H$119*Models!$H$36,MAX(0,Models!$H$34-(DD35-DD36-DD37+DD33)))</f>
        <v/>
      </c>
      <c r="DE41" s="22">
        <f>MIN(DE40*Assumptions!$H$119*Models!$H$36,MAX(0,Models!$H$34-(DE35-DE36-DE37+DE33)))</f>
        <v/>
      </c>
      <c r="DF41" s="22">
        <f>MIN(DF40*Assumptions!$H$119*Models!$H$36,MAX(0,Models!$H$34-(DF35-DF36-DF37+DF33)))</f>
        <v/>
      </c>
      <c r="DG41" s="22">
        <f>MIN(DG40*Assumptions!$H$119*Models!$H$36,MAX(0,Models!$H$34-(DG35-DG36-DG37+DG33)))</f>
        <v/>
      </c>
      <c r="DH41" s="22">
        <f>MIN(DH40*Assumptions!$H$119*Models!$H$36,MAX(0,Models!$H$34-(DH35-DH36-DH37+DH33)))</f>
        <v/>
      </c>
      <c r="DI41" s="22">
        <f>MIN(DI40*Assumptions!$H$119*Models!$H$36,MAX(0,Models!$H$34-(DI35-DI36-DI37+DI33)))</f>
        <v/>
      </c>
      <c r="DJ41" s="22">
        <f>MIN(DJ40*Assumptions!$H$119*Models!$H$36,MAX(0,Models!$H$34-(DJ35-DJ36-DJ37+DJ33)))</f>
        <v/>
      </c>
      <c r="DK41" s="22">
        <f>MIN(DK40*Assumptions!$H$119*Models!$H$36,MAX(0,Models!$H$34-(DK35-DK36-DK37+DK33)))</f>
        <v/>
      </c>
      <c r="DL41" s="22">
        <f>MIN(DL40*Assumptions!$H$119*Models!$H$36,MAX(0,Models!$H$34-(DL35-DL36-DL37+DL33)))</f>
        <v/>
      </c>
      <c r="DM41" s="22">
        <f>MIN(DM40*Assumptions!$H$119*Models!$H$36,MAX(0,Models!$H$34-(DM35-DM36-DM37+DM33)))</f>
        <v/>
      </c>
      <c r="DN41" s="22">
        <f>MIN(DN40*Assumptions!$H$119*Models!$H$36,MAX(0,Models!$H$34-(DN35-DN36-DN37+DN33)))</f>
        <v/>
      </c>
      <c r="DO41" s="22">
        <f>MIN(DO40*Assumptions!$H$119*Models!$H$36,MAX(0,Models!$H$34-(DO35-DO36-DO37+DO33)))</f>
        <v/>
      </c>
      <c r="DP41" s="22">
        <f>MIN(DP40*Assumptions!$H$119*Models!$H$36,MAX(0,Models!$H$34-(DP35-DP36-DP37+DP33)))</f>
        <v/>
      </c>
      <c r="DQ41" s="22">
        <f>MIN(DQ40*Assumptions!$H$119*Models!$H$36,MAX(0,Models!$H$34-(DQ35-DQ36-DQ37+DQ33)))</f>
        <v/>
      </c>
      <c r="DR41" s="22">
        <f>MIN(DR40*Assumptions!$H$119*Models!$H$36,MAX(0,Models!$H$34-(DR35-DR36-DR37+DR33)))</f>
        <v/>
      </c>
      <c r="DS41" s="22">
        <f>MIN(DS40*Assumptions!$H$119*Models!$H$36,MAX(0,Models!$H$34-(DS35-DS36-DS37+DS33)))</f>
        <v/>
      </c>
    </row>
    <row r="42">
      <c r="A42" s="2" t="inlineStr">
        <is>
          <t>SH_FCLOSE</t>
        </is>
      </c>
      <c r="B42" s="3" t="inlineStr">
        <is>
          <t>Breeding females, closing</t>
        </is>
      </c>
      <c r="C42" s="2" t="inlineStr">
        <is>
          <t>head</t>
        </is>
      </c>
      <c r="D42" s="35">
        <f>D35-D36-D37+D33+D41</f>
        <v/>
      </c>
      <c r="E42" s="35">
        <f>E35-E36-E37+E33+E41</f>
        <v/>
      </c>
      <c r="F42" s="35">
        <f>F35-F36-F37+F33+F41</f>
        <v/>
      </c>
      <c r="G42" s="35">
        <f>G35-G36-G37+G33+G41</f>
        <v/>
      </c>
      <c r="H42" s="35">
        <f>H35-H36-H37+H33+H41</f>
        <v/>
      </c>
      <c r="I42" s="35">
        <f>I35-I36-I37+I33+I41</f>
        <v/>
      </c>
      <c r="J42" s="35">
        <f>J35-J36-J37+J33+J41</f>
        <v/>
      </c>
      <c r="K42" s="35">
        <f>K35-K36-K37+K33+K41</f>
        <v/>
      </c>
      <c r="L42" s="35">
        <f>L35-L36-L37+L33+L41</f>
        <v/>
      </c>
      <c r="M42" s="35">
        <f>M35-M36-M37+M33+M41</f>
        <v/>
      </c>
      <c r="N42" s="35">
        <f>N35-N36-N37+N33+N41</f>
        <v/>
      </c>
      <c r="O42" s="35">
        <f>O35-O36-O37+O33+O41</f>
        <v/>
      </c>
      <c r="P42" s="35">
        <f>P35-P36-P37+P33+P41</f>
        <v/>
      </c>
      <c r="Q42" s="35">
        <f>Q35-Q36-Q37+Q33+Q41</f>
        <v/>
      </c>
      <c r="R42" s="35">
        <f>R35-R36-R37+R33+R41</f>
        <v/>
      </c>
      <c r="S42" s="35">
        <f>S35-S36-S37+S33+S41</f>
        <v/>
      </c>
      <c r="T42" s="35">
        <f>T35-T36-T37+T33+T41</f>
        <v/>
      </c>
      <c r="U42" s="35">
        <f>U35-U36-U37+U33+U41</f>
        <v/>
      </c>
      <c r="V42" s="35">
        <f>V35-V36-V37+V33+V41</f>
        <v/>
      </c>
      <c r="W42" s="35">
        <f>W35-W36-W37+W33+W41</f>
        <v/>
      </c>
      <c r="X42" s="35">
        <f>X35-X36-X37+X33+X41</f>
        <v/>
      </c>
      <c r="Y42" s="35">
        <f>Y35-Y36-Y37+Y33+Y41</f>
        <v/>
      </c>
      <c r="Z42" s="35">
        <f>Z35-Z36-Z37+Z33+Z41</f>
        <v/>
      </c>
      <c r="AA42" s="35">
        <f>AA35-AA36-AA37+AA33+AA41</f>
        <v/>
      </c>
      <c r="AB42" s="35">
        <f>AB35-AB36-AB37+AB33+AB41</f>
        <v/>
      </c>
      <c r="AC42" s="35">
        <f>AC35-AC36-AC37+AC33+AC41</f>
        <v/>
      </c>
      <c r="AD42" s="35">
        <f>AD35-AD36-AD37+AD33+AD41</f>
        <v/>
      </c>
      <c r="AE42" s="35">
        <f>AE35-AE36-AE37+AE33+AE41</f>
        <v/>
      </c>
      <c r="AF42" s="35">
        <f>AF35-AF36-AF37+AF33+AF41</f>
        <v/>
      </c>
      <c r="AG42" s="35">
        <f>AG35-AG36-AG37+AG33+AG41</f>
        <v/>
      </c>
      <c r="AH42" s="35">
        <f>AH35-AH36-AH37+AH33+AH41</f>
        <v/>
      </c>
      <c r="AI42" s="35">
        <f>AI35-AI36-AI37+AI33+AI41</f>
        <v/>
      </c>
      <c r="AJ42" s="35">
        <f>AJ35-AJ36-AJ37+AJ33+AJ41</f>
        <v/>
      </c>
      <c r="AK42" s="35">
        <f>AK35-AK36-AK37+AK33+AK41</f>
        <v/>
      </c>
      <c r="AL42" s="35">
        <f>AL35-AL36-AL37+AL33+AL41</f>
        <v/>
      </c>
      <c r="AM42" s="35">
        <f>AM35-AM36-AM37+AM33+AM41</f>
        <v/>
      </c>
      <c r="AN42" s="35">
        <f>AN35-AN36-AN37+AN33+AN41</f>
        <v/>
      </c>
      <c r="AO42" s="35">
        <f>AO35-AO36-AO37+AO33+AO41</f>
        <v/>
      </c>
      <c r="AP42" s="35">
        <f>AP35-AP36-AP37+AP33+AP41</f>
        <v/>
      </c>
      <c r="AQ42" s="35">
        <f>AQ35-AQ36-AQ37+AQ33+AQ41</f>
        <v/>
      </c>
      <c r="AR42" s="35">
        <f>AR35-AR36-AR37+AR33+AR41</f>
        <v/>
      </c>
      <c r="AS42" s="35">
        <f>AS35-AS36-AS37+AS33+AS41</f>
        <v/>
      </c>
      <c r="AT42" s="35">
        <f>AT35-AT36-AT37+AT33+AT41</f>
        <v/>
      </c>
      <c r="AU42" s="35">
        <f>AU35-AU36-AU37+AU33+AU41</f>
        <v/>
      </c>
      <c r="AV42" s="35">
        <f>AV35-AV36-AV37+AV33+AV41</f>
        <v/>
      </c>
      <c r="AW42" s="35">
        <f>AW35-AW36-AW37+AW33+AW41</f>
        <v/>
      </c>
      <c r="AX42" s="35">
        <f>AX35-AX36-AX37+AX33+AX41</f>
        <v/>
      </c>
      <c r="AY42" s="35">
        <f>AY35-AY36-AY37+AY33+AY41</f>
        <v/>
      </c>
      <c r="AZ42" s="35">
        <f>AZ35-AZ36-AZ37+AZ33+AZ41</f>
        <v/>
      </c>
      <c r="BA42" s="35">
        <f>BA35-BA36-BA37+BA33+BA41</f>
        <v/>
      </c>
      <c r="BB42" s="35">
        <f>BB35-BB36-BB37+BB33+BB41</f>
        <v/>
      </c>
      <c r="BC42" s="35">
        <f>BC35-BC36-BC37+BC33+BC41</f>
        <v/>
      </c>
      <c r="BD42" s="35">
        <f>BD35-BD36-BD37+BD33+BD41</f>
        <v/>
      </c>
      <c r="BE42" s="35">
        <f>BE35-BE36-BE37+BE33+BE41</f>
        <v/>
      </c>
      <c r="BF42" s="35">
        <f>BF35-BF36-BF37+BF33+BF41</f>
        <v/>
      </c>
      <c r="BG42" s="35">
        <f>BG35-BG36-BG37+BG33+BG41</f>
        <v/>
      </c>
      <c r="BH42" s="35">
        <f>BH35-BH36-BH37+BH33+BH41</f>
        <v/>
      </c>
      <c r="BI42" s="35">
        <f>BI35-BI36-BI37+BI33+BI41</f>
        <v/>
      </c>
      <c r="BJ42" s="35">
        <f>BJ35-BJ36-BJ37+BJ33+BJ41</f>
        <v/>
      </c>
      <c r="BK42" s="35">
        <f>BK35-BK36-BK37+BK33+BK41</f>
        <v/>
      </c>
      <c r="BL42" s="35">
        <f>BL35-BL36-BL37+BL33+BL41</f>
        <v/>
      </c>
      <c r="BM42" s="35">
        <f>BM35-BM36-BM37+BM33+BM41</f>
        <v/>
      </c>
      <c r="BN42" s="35">
        <f>BN35-BN36-BN37+BN33+BN41</f>
        <v/>
      </c>
      <c r="BO42" s="35">
        <f>BO35-BO36-BO37+BO33+BO41</f>
        <v/>
      </c>
      <c r="BP42" s="35">
        <f>BP35-BP36-BP37+BP33+BP41</f>
        <v/>
      </c>
      <c r="BQ42" s="35">
        <f>BQ35-BQ36-BQ37+BQ33+BQ41</f>
        <v/>
      </c>
      <c r="BR42" s="35">
        <f>BR35-BR36-BR37+BR33+BR41</f>
        <v/>
      </c>
      <c r="BS42" s="35">
        <f>BS35-BS36-BS37+BS33+BS41</f>
        <v/>
      </c>
      <c r="BT42" s="35">
        <f>BT35-BT36-BT37+BT33+BT41</f>
        <v/>
      </c>
      <c r="BU42" s="35">
        <f>BU35-BU36-BU37+BU33+BU41</f>
        <v/>
      </c>
      <c r="BV42" s="35">
        <f>BV35-BV36-BV37+BV33+BV41</f>
        <v/>
      </c>
      <c r="BW42" s="35">
        <f>BW35-BW36-BW37+BW33+BW41</f>
        <v/>
      </c>
      <c r="BX42" s="35">
        <f>BX35-BX36-BX37+BX33+BX41</f>
        <v/>
      </c>
      <c r="BY42" s="35">
        <f>BY35-BY36-BY37+BY33+BY41</f>
        <v/>
      </c>
      <c r="BZ42" s="35">
        <f>BZ35-BZ36-BZ37+BZ33+BZ41</f>
        <v/>
      </c>
      <c r="CA42" s="35">
        <f>CA35-CA36-CA37+CA33+CA41</f>
        <v/>
      </c>
      <c r="CB42" s="35">
        <f>CB35-CB36-CB37+CB33+CB41</f>
        <v/>
      </c>
      <c r="CC42" s="35">
        <f>CC35-CC36-CC37+CC33+CC41</f>
        <v/>
      </c>
      <c r="CD42" s="35">
        <f>CD35-CD36-CD37+CD33+CD41</f>
        <v/>
      </c>
      <c r="CE42" s="35">
        <f>CE35-CE36-CE37+CE33+CE41</f>
        <v/>
      </c>
      <c r="CF42" s="35">
        <f>CF35-CF36-CF37+CF33+CF41</f>
        <v/>
      </c>
      <c r="CG42" s="35">
        <f>CG35-CG36-CG37+CG33+CG41</f>
        <v/>
      </c>
      <c r="CH42" s="35">
        <f>CH35-CH36-CH37+CH33+CH41</f>
        <v/>
      </c>
      <c r="CI42" s="35">
        <f>CI35-CI36-CI37+CI33+CI41</f>
        <v/>
      </c>
      <c r="CJ42" s="35">
        <f>CJ35-CJ36-CJ37+CJ33+CJ41</f>
        <v/>
      </c>
      <c r="CK42" s="35">
        <f>CK35-CK36-CK37+CK33+CK41</f>
        <v/>
      </c>
      <c r="CL42" s="35">
        <f>CL35-CL36-CL37+CL33+CL41</f>
        <v/>
      </c>
      <c r="CM42" s="35">
        <f>CM35-CM36-CM37+CM33+CM41</f>
        <v/>
      </c>
      <c r="CN42" s="35">
        <f>CN35-CN36-CN37+CN33+CN41</f>
        <v/>
      </c>
      <c r="CO42" s="35">
        <f>CO35-CO36-CO37+CO33+CO41</f>
        <v/>
      </c>
      <c r="CP42" s="35">
        <f>CP35-CP36-CP37+CP33+CP41</f>
        <v/>
      </c>
      <c r="CQ42" s="35">
        <f>CQ35-CQ36-CQ37+CQ33+CQ41</f>
        <v/>
      </c>
      <c r="CR42" s="35">
        <f>CR35-CR36-CR37+CR33+CR41</f>
        <v/>
      </c>
      <c r="CS42" s="35">
        <f>CS35-CS36-CS37+CS33+CS41</f>
        <v/>
      </c>
      <c r="CT42" s="35">
        <f>CT35-CT36-CT37+CT33+CT41</f>
        <v/>
      </c>
      <c r="CU42" s="35">
        <f>CU35-CU36-CU37+CU33+CU41</f>
        <v/>
      </c>
      <c r="CV42" s="35">
        <f>CV35-CV36-CV37+CV33+CV41</f>
        <v/>
      </c>
      <c r="CW42" s="35">
        <f>CW35-CW36-CW37+CW33+CW41</f>
        <v/>
      </c>
      <c r="CX42" s="35">
        <f>CX35-CX36-CX37+CX33+CX41</f>
        <v/>
      </c>
      <c r="CY42" s="35">
        <f>CY35-CY36-CY37+CY33+CY41</f>
        <v/>
      </c>
      <c r="CZ42" s="35">
        <f>CZ35-CZ36-CZ37+CZ33+CZ41</f>
        <v/>
      </c>
      <c r="DA42" s="35">
        <f>DA35-DA36-DA37+DA33+DA41</f>
        <v/>
      </c>
      <c r="DB42" s="35">
        <f>DB35-DB36-DB37+DB33+DB41</f>
        <v/>
      </c>
      <c r="DC42" s="35">
        <f>DC35-DC36-DC37+DC33+DC41</f>
        <v/>
      </c>
      <c r="DD42" s="35">
        <f>DD35-DD36-DD37+DD33+DD41</f>
        <v/>
      </c>
      <c r="DE42" s="35">
        <f>DE35-DE36-DE37+DE33+DE41</f>
        <v/>
      </c>
      <c r="DF42" s="35">
        <f>DF35-DF36-DF37+DF33+DF41</f>
        <v/>
      </c>
      <c r="DG42" s="35">
        <f>DG35-DG36-DG37+DG33+DG41</f>
        <v/>
      </c>
      <c r="DH42" s="35">
        <f>DH35-DH36-DH37+DH33+DH41</f>
        <v/>
      </c>
      <c r="DI42" s="35">
        <f>DI35-DI36-DI37+DI33+DI41</f>
        <v/>
      </c>
      <c r="DJ42" s="35">
        <f>DJ35-DJ36-DJ37+DJ33+DJ41</f>
        <v/>
      </c>
      <c r="DK42" s="35">
        <f>DK35-DK36-DK37+DK33+DK41</f>
        <v/>
      </c>
      <c r="DL42" s="35">
        <f>DL35-DL36-DL37+DL33+DL41</f>
        <v/>
      </c>
      <c r="DM42" s="35">
        <f>DM35-DM36-DM37+DM33+DM41</f>
        <v/>
      </c>
      <c r="DN42" s="35">
        <f>DN35-DN36-DN37+DN33+DN41</f>
        <v/>
      </c>
      <c r="DO42" s="35">
        <f>DO35-DO36-DO37+DO33+DO41</f>
        <v/>
      </c>
      <c r="DP42" s="35">
        <f>DP35-DP36-DP37+DP33+DP41</f>
        <v/>
      </c>
      <c r="DQ42" s="35">
        <f>DQ35-DQ36-DQ37+DQ33+DQ41</f>
        <v/>
      </c>
      <c r="DR42" s="35">
        <f>DR35-DR36-DR37+DR33+DR41</f>
        <v/>
      </c>
      <c r="DS42" s="35">
        <f>DS35-DS36-DS37+DS33+DS41</f>
        <v/>
      </c>
    </row>
    <row r="43">
      <c r="A43" s="2" t="inlineStr">
        <is>
          <t>SH_YSOLD</t>
        </is>
      </c>
      <c r="B43" s="6" t="inlineStr">
        <is>
          <t>Young sold</t>
        </is>
      </c>
      <c r="C43" s="2" t="inlineStr">
        <is>
          <t>head</t>
        </is>
      </c>
      <c r="D43" s="22">
        <f>D40-D41</f>
        <v/>
      </c>
      <c r="E43" s="22">
        <f>E40-E41</f>
        <v/>
      </c>
      <c r="F43" s="22">
        <f>F40-F41</f>
        <v/>
      </c>
      <c r="G43" s="22">
        <f>G40-G41</f>
        <v/>
      </c>
      <c r="H43" s="22">
        <f>H40-H41</f>
        <v/>
      </c>
      <c r="I43" s="22">
        <f>I40-I41</f>
        <v/>
      </c>
      <c r="J43" s="22">
        <f>J40-J41</f>
        <v/>
      </c>
      <c r="K43" s="22">
        <f>K40-K41</f>
        <v/>
      </c>
      <c r="L43" s="22">
        <f>L40-L41</f>
        <v/>
      </c>
      <c r="M43" s="22">
        <f>M40-M41</f>
        <v/>
      </c>
      <c r="N43" s="22">
        <f>N40-N41</f>
        <v/>
      </c>
      <c r="O43" s="22">
        <f>O40-O41</f>
        <v/>
      </c>
      <c r="P43" s="22">
        <f>P40-P41</f>
        <v/>
      </c>
      <c r="Q43" s="22">
        <f>Q40-Q41</f>
        <v/>
      </c>
      <c r="R43" s="22">
        <f>R40-R41</f>
        <v/>
      </c>
      <c r="S43" s="22">
        <f>S40-S41</f>
        <v/>
      </c>
      <c r="T43" s="22">
        <f>T40-T41</f>
        <v/>
      </c>
      <c r="U43" s="22">
        <f>U40-U41</f>
        <v/>
      </c>
      <c r="V43" s="22">
        <f>V40-V41</f>
        <v/>
      </c>
      <c r="W43" s="22">
        <f>W40-W41</f>
        <v/>
      </c>
      <c r="X43" s="22">
        <f>X40-X41</f>
        <v/>
      </c>
      <c r="Y43" s="22">
        <f>Y40-Y41</f>
        <v/>
      </c>
      <c r="Z43" s="22">
        <f>Z40-Z41</f>
        <v/>
      </c>
      <c r="AA43" s="22">
        <f>AA40-AA41</f>
        <v/>
      </c>
      <c r="AB43" s="22">
        <f>AB40-AB41</f>
        <v/>
      </c>
      <c r="AC43" s="22">
        <f>AC40-AC41</f>
        <v/>
      </c>
      <c r="AD43" s="22">
        <f>AD40-AD41</f>
        <v/>
      </c>
      <c r="AE43" s="22">
        <f>AE40-AE41</f>
        <v/>
      </c>
      <c r="AF43" s="22">
        <f>AF40-AF41</f>
        <v/>
      </c>
      <c r="AG43" s="22">
        <f>AG40-AG41</f>
        <v/>
      </c>
      <c r="AH43" s="22">
        <f>AH40-AH41</f>
        <v/>
      </c>
      <c r="AI43" s="22">
        <f>AI40-AI41</f>
        <v/>
      </c>
      <c r="AJ43" s="22">
        <f>AJ40-AJ41</f>
        <v/>
      </c>
      <c r="AK43" s="22">
        <f>AK40-AK41</f>
        <v/>
      </c>
      <c r="AL43" s="22">
        <f>AL40-AL41</f>
        <v/>
      </c>
      <c r="AM43" s="22">
        <f>AM40-AM41</f>
        <v/>
      </c>
      <c r="AN43" s="22">
        <f>AN40-AN41</f>
        <v/>
      </c>
      <c r="AO43" s="22">
        <f>AO40-AO41</f>
        <v/>
      </c>
      <c r="AP43" s="22">
        <f>AP40-AP41</f>
        <v/>
      </c>
      <c r="AQ43" s="22">
        <f>AQ40-AQ41</f>
        <v/>
      </c>
      <c r="AR43" s="22">
        <f>AR40-AR41</f>
        <v/>
      </c>
      <c r="AS43" s="22">
        <f>AS40-AS41</f>
        <v/>
      </c>
      <c r="AT43" s="22">
        <f>AT40-AT41</f>
        <v/>
      </c>
      <c r="AU43" s="22">
        <f>AU40-AU41</f>
        <v/>
      </c>
      <c r="AV43" s="22">
        <f>AV40-AV41</f>
        <v/>
      </c>
      <c r="AW43" s="22">
        <f>AW40-AW41</f>
        <v/>
      </c>
      <c r="AX43" s="22">
        <f>AX40-AX41</f>
        <v/>
      </c>
      <c r="AY43" s="22">
        <f>AY40-AY41</f>
        <v/>
      </c>
      <c r="AZ43" s="22">
        <f>AZ40-AZ41</f>
        <v/>
      </c>
      <c r="BA43" s="22">
        <f>BA40-BA41</f>
        <v/>
      </c>
      <c r="BB43" s="22">
        <f>BB40-BB41</f>
        <v/>
      </c>
      <c r="BC43" s="22">
        <f>BC40-BC41</f>
        <v/>
      </c>
      <c r="BD43" s="22">
        <f>BD40-BD41</f>
        <v/>
      </c>
      <c r="BE43" s="22">
        <f>BE40-BE41</f>
        <v/>
      </c>
      <c r="BF43" s="22">
        <f>BF40-BF41</f>
        <v/>
      </c>
      <c r="BG43" s="22">
        <f>BG40-BG41</f>
        <v/>
      </c>
      <c r="BH43" s="22">
        <f>BH40-BH41</f>
        <v/>
      </c>
      <c r="BI43" s="22">
        <f>BI40-BI41</f>
        <v/>
      </c>
      <c r="BJ43" s="22">
        <f>BJ40-BJ41</f>
        <v/>
      </c>
      <c r="BK43" s="22">
        <f>BK40-BK41</f>
        <v/>
      </c>
      <c r="BL43" s="22">
        <f>BL40-BL41</f>
        <v/>
      </c>
      <c r="BM43" s="22">
        <f>BM40-BM41</f>
        <v/>
      </c>
      <c r="BN43" s="22">
        <f>BN40-BN41</f>
        <v/>
      </c>
      <c r="BO43" s="22">
        <f>BO40-BO41</f>
        <v/>
      </c>
      <c r="BP43" s="22">
        <f>BP40-BP41</f>
        <v/>
      </c>
      <c r="BQ43" s="22">
        <f>BQ40-BQ41</f>
        <v/>
      </c>
      <c r="BR43" s="22">
        <f>BR40-BR41</f>
        <v/>
      </c>
      <c r="BS43" s="22">
        <f>BS40-BS41</f>
        <v/>
      </c>
      <c r="BT43" s="22">
        <f>BT40-BT41</f>
        <v/>
      </c>
      <c r="BU43" s="22">
        <f>BU40-BU41</f>
        <v/>
      </c>
      <c r="BV43" s="22">
        <f>BV40-BV41</f>
        <v/>
      </c>
      <c r="BW43" s="22">
        <f>BW40-BW41</f>
        <v/>
      </c>
      <c r="BX43" s="22">
        <f>BX40-BX41</f>
        <v/>
      </c>
      <c r="BY43" s="22">
        <f>BY40-BY41</f>
        <v/>
      </c>
      <c r="BZ43" s="22">
        <f>BZ40-BZ41</f>
        <v/>
      </c>
      <c r="CA43" s="22">
        <f>CA40-CA41</f>
        <v/>
      </c>
      <c r="CB43" s="22">
        <f>CB40-CB41</f>
        <v/>
      </c>
      <c r="CC43" s="22">
        <f>CC40-CC41</f>
        <v/>
      </c>
      <c r="CD43" s="22">
        <f>CD40-CD41</f>
        <v/>
      </c>
      <c r="CE43" s="22">
        <f>CE40-CE41</f>
        <v/>
      </c>
      <c r="CF43" s="22">
        <f>CF40-CF41</f>
        <v/>
      </c>
      <c r="CG43" s="22">
        <f>CG40-CG41</f>
        <v/>
      </c>
      <c r="CH43" s="22">
        <f>CH40-CH41</f>
        <v/>
      </c>
      <c r="CI43" s="22">
        <f>CI40-CI41</f>
        <v/>
      </c>
      <c r="CJ43" s="22">
        <f>CJ40-CJ41</f>
        <v/>
      </c>
      <c r="CK43" s="22">
        <f>CK40-CK41</f>
        <v/>
      </c>
      <c r="CL43" s="22">
        <f>CL40-CL41</f>
        <v/>
      </c>
      <c r="CM43" s="22">
        <f>CM40-CM41</f>
        <v/>
      </c>
      <c r="CN43" s="22">
        <f>CN40-CN41</f>
        <v/>
      </c>
      <c r="CO43" s="22">
        <f>CO40-CO41</f>
        <v/>
      </c>
      <c r="CP43" s="22">
        <f>CP40-CP41</f>
        <v/>
      </c>
      <c r="CQ43" s="22">
        <f>CQ40-CQ41</f>
        <v/>
      </c>
      <c r="CR43" s="22">
        <f>CR40-CR41</f>
        <v/>
      </c>
      <c r="CS43" s="22">
        <f>CS40-CS41</f>
        <v/>
      </c>
      <c r="CT43" s="22">
        <f>CT40-CT41</f>
        <v/>
      </c>
      <c r="CU43" s="22">
        <f>CU40-CU41</f>
        <v/>
      </c>
      <c r="CV43" s="22">
        <f>CV40-CV41</f>
        <v/>
      </c>
      <c r="CW43" s="22">
        <f>CW40-CW41</f>
        <v/>
      </c>
      <c r="CX43" s="22">
        <f>CX40-CX41</f>
        <v/>
      </c>
      <c r="CY43" s="22">
        <f>CY40-CY41</f>
        <v/>
      </c>
      <c r="CZ43" s="22">
        <f>CZ40-CZ41</f>
        <v/>
      </c>
      <c r="DA43" s="22">
        <f>DA40-DA41</f>
        <v/>
      </c>
      <c r="DB43" s="22">
        <f>DB40-DB41</f>
        <v/>
      </c>
      <c r="DC43" s="22">
        <f>DC40-DC41</f>
        <v/>
      </c>
      <c r="DD43" s="22">
        <f>DD40-DD41</f>
        <v/>
      </c>
      <c r="DE43" s="22">
        <f>DE40-DE41</f>
        <v/>
      </c>
      <c r="DF43" s="22">
        <f>DF40-DF41</f>
        <v/>
      </c>
      <c r="DG43" s="22">
        <f>DG40-DG41</f>
        <v/>
      </c>
      <c r="DH43" s="22">
        <f>DH40-DH41</f>
        <v/>
      </c>
      <c r="DI43" s="22">
        <f>DI40-DI41</f>
        <v/>
      </c>
      <c r="DJ43" s="22">
        <f>DJ40-DJ41</f>
        <v/>
      </c>
      <c r="DK43" s="22">
        <f>DK40-DK41</f>
        <v/>
      </c>
      <c r="DL43" s="22">
        <f>DL40-DL41</f>
        <v/>
      </c>
      <c r="DM43" s="22">
        <f>DM40-DM41</f>
        <v/>
      </c>
      <c r="DN43" s="22">
        <f>DN40-DN41</f>
        <v/>
      </c>
      <c r="DO43" s="22">
        <f>DO40-DO41</f>
        <v/>
      </c>
      <c r="DP43" s="22">
        <f>DP40-DP41</f>
        <v/>
      </c>
      <c r="DQ43" s="22">
        <f>DQ40-DQ41</f>
        <v/>
      </c>
      <c r="DR43" s="22">
        <f>DR40-DR41</f>
        <v/>
      </c>
      <c r="DS43" s="22">
        <f>DS40-DS41</f>
        <v/>
      </c>
    </row>
    <row r="44">
      <c r="A44" s="2" t="inlineStr">
        <is>
          <t>SH_YHAND</t>
        </is>
      </c>
      <c r="B44" s="6" t="inlineStr">
        <is>
          <t>Young on hand</t>
        </is>
      </c>
      <c r="C44" s="2" t="inlineStr">
        <is>
          <t>head</t>
        </is>
      </c>
      <c r="D44" s="29">
        <f>0+D39-D40</f>
        <v/>
      </c>
      <c r="E44" s="29">
        <f>D44+E39-E40</f>
        <v/>
      </c>
      <c r="F44" s="29">
        <f>E44+F39-F40</f>
        <v/>
      </c>
      <c r="G44" s="29">
        <f>F44+G39-G40</f>
        <v/>
      </c>
      <c r="H44" s="29">
        <f>G44+H39-H40</f>
        <v/>
      </c>
      <c r="I44" s="29">
        <f>H44+I39-I40</f>
        <v/>
      </c>
      <c r="J44" s="29">
        <f>I44+J39-J40</f>
        <v/>
      </c>
      <c r="K44" s="29">
        <f>J44+K39-K40</f>
        <v/>
      </c>
      <c r="L44" s="29">
        <f>K44+L39-L40</f>
        <v/>
      </c>
      <c r="M44" s="29">
        <f>L44+M39-M40</f>
        <v/>
      </c>
      <c r="N44" s="29">
        <f>M44+N39-N40</f>
        <v/>
      </c>
      <c r="O44" s="29">
        <f>N44+O39-O40</f>
        <v/>
      </c>
      <c r="P44" s="29">
        <f>O44+P39-P40</f>
        <v/>
      </c>
      <c r="Q44" s="29">
        <f>P44+Q39-Q40</f>
        <v/>
      </c>
      <c r="R44" s="29">
        <f>Q44+R39-R40</f>
        <v/>
      </c>
      <c r="S44" s="29">
        <f>R44+S39-S40</f>
        <v/>
      </c>
      <c r="T44" s="29">
        <f>S44+T39-T40</f>
        <v/>
      </c>
      <c r="U44" s="29">
        <f>T44+U39-U40</f>
        <v/>
      </c>
      <c r="V44" s="29">
        <f>U44+V39-V40</f>
        <v/>
      </c>
      <c r="W44" s="29">
        <f>V44+W39-W40</f>
        <v/>
      </c>
      <c r="X44" s="29">
        <f>W44+X39-X40</f>
        <v/>
      </c>
      <c r="Y44" s="29">
        <f>X44+Y39-Y40</f>
        <v/>
      </c>
      <c r="Z44" s="29">
        <f>Y44+Z39-Z40</f>
        <v/>
      </c>
      <c r="AA44" s="29">
        <f>Z44+AA39-AA40</f>
        <v/>
      </c>
      <c r="AB44" s="29">
        <f>AA44+AB39-AB40</f>
        <v/>
      </c>
      <c r="AC44" s="29">
        <f>AB44+AC39-AC40</f>
        <v/>
      </c>
      <c r="AD44" s="29">
        <f>AC44+AD39-AD40</f>
        <v/>
      </c>
      <c r="AE44" s="29">
        <f>AD44+AE39-AE40</f>
        <v/>
      </c>
      <c r="AF44" s="29">
        <f>AE44+AF39-AF40</f>
        <v/>
      </c>
      <c r="AG44" s="29">
        <f>AF44+AG39-AG40</f>
        <v/>
      </c>
      <c r="AH44" s="29">
        <f>AG44+AH39-AH40</f>
        <v/>
      </c>
      <c r="AI44" s="29">
        <f>AH44+AI39-AI40</f>
        <v/>
      </c>
      <c r="AJ44" s="29">
        <f>AI44+AJ39-AJ40</f>
        <v/>
      </c>
      <c r="AK44" s="29">
        <f>AJ44+AK39-AK40</f>
        <v/>
      </c>
      <c r="AL44" s="29">
        <f>AK44+AL39-AL40</f>
        <v/>
      </c>
      <c r="AM44" s="29">
        <f>AL44+AM39-AM40</f>
        <v/>
      </c>
      <c r="AN44" s="29">
        <f>AM44+AN39-AN40</f>
        <v/>
      </c>
      <c r="AO44" s="29">
        <f>AN44+AO39-AO40</f>
        <v/>
      </c>
      <c r="AP44" s="29">
        <f>AO44+AP39-AP40</f>
        <v/>
      </c>
      <c r="AQ44" s="29">
        <f>AP44+AQ39-AQ40</f>
        <v/>
      </c>
      <c r="AR44" s="29">
        <f>AQ44+AR39-AR40</f>
        <v/>
      </c>
      <c r="AS44" s="29">
        <f>AR44+AS39-AS40</f>
        <v/>
      </c>
      <c r="AT44" s="29">
        <f>AS44+AT39-AT40</f>
        <v/>
      </c>
      <c r="AU44" s="29">
        <f>AT44+AU39-AU40</f>
        <v/>
      </c>
      <c r="AV44" s="29">
        <f>AU44+AV39-AV40</f>
        <v/>
      </c>
      <c r="AW44" s="29">
        <f>AV44+AW39-AW40</f>
        <v/>
      </c>
      <c r="AX44" s="29">
        <f>AW44+AX39-AX40</f>
        <v/>
      </c>
      <c r="AY44" s="29">
        <f>AX44+AY39-AY40</f>
        <v/>
      </c>
      <c r="AZ44" s="29">
        <f>AY44+AZ39-AZ40</f>
        <v/>
      </c>
      <c r="BA44" s="29">
        <f>AZ44+BA39-BA40</f>
        <v/>
      </c>
      <c r="BB44" s="29">
        <f>BA44+BB39-BB40</f>
        <v/>
      </c>
      <c r="BC44" s="29">
        <f>BB44+BC39-BC40</f>
        <v/>
      </c>
      <c r="BD44" s="29">
        <f>BC44+BD39-BD40</f>
        <v/>
      </c>
      <c r="BE44" s="29">
        <f>BD44+BE39-BE40</f>
        <v/>
      </c>
      <c r="BF44" s="29">
        <f>BE44+BF39-BF40</f>
        <v/>
      </c>
      <c r="BG44" s="29">
        <f>BF44+BG39-BG40</f>
        <v/>
      </c>
      <c r="BH44" s="29">
        <f>BG44+BH39-BH40</f>
        <v/>
      </c>
      <c r="BI44" s="29">
        <f>BH44+BI39-BI40</f>
        <v/>
      </c>
      <c r="BJ44" s="29">
        <f>BI44+BJ39-BJ40</f>
        <v/>
      </c>
      <c r="BK44" s="29">
        <f>BJ44+BK39-BK40</f>
        <v/>
      </c>
      <c r="BL44" s="29">
        <f>BK44+BL39-BL40</f>
        <v/>
      </c>
      <c r="BM44" s="29">
        <f>BL44+BM39-BM40</f>
        <v/>
      </c>
      <c r="BN44" s="29">
        <f>BM44+BN39-BN40</f>
        <v/>
      </c>
      <c r="BO44" s="29">
        <f>BN44+BO39-BO40</f>
        <v/>
      </c>
      <c r="BP44" s="29">
        <f>BO44+BP39-BP40</f>
        <v/>
      </c>
      <c r="BQ44" s="29">
        <f>BP44+BQ39-BQ40</f>
        <v/>
      </c>
      <c r="BR44" s="29">
        <f>BQ44+BR39-BR40</f>
        <v/>
      </c>
      <c r="BS44" s="29">
        <f>BR44+BS39-BS40</f>
        <v/>
      </c>
      <c r="BT44" s="29">
        <f>BS44+BT39-BT40</f>
        <v/>
      </c>
      <c r="BU44" s="29">
        <f>BT44+BU39-BU40</f>
        <v/>
      </c>
      <c r="BV44" s="29">
        <f>BU44+BV39-BV40</f>
        <v/>
      </c>
      <c r="BW44" s="29">
        <f>BV44+BW39-BW40</f>
        <v/>
      </c>
      <c r="BX44" s="29">
        <f>BW44+BX39-BX40</f>
        <v/>
      </c>
      <c r="BY44" s="29">
        <f>BX44+BY39-BY40</f>
        <v/>
      </c>
      <c r="BZ44" s="29">
        <f>BY44+BZ39-BZ40</f>
        <v/>
      </c>
      <c r="CA44" s="29">
        <f>BZ44+CA39-CA40</f>
        <v/>
      </c>
      <c r="CB44" s="29">
        <f>CA44+CB39-CB40</f>
        <v/>
      </c>
      <c r="CC44" s="29">
        <f>CB44+CC39-CC40</f>
        <v/>
      </c>
      <c r="CD44" s="29">
        <f>CC44+CD39-CD40</f>
        <v/>
      </c>
      <c r="CE44" s="29">
        <f>CD44+CE39-CE40</f>
        <v/>
      </c>
      <c r="CF44" s="29">
        <f>CE44+CF39-CF40</f>
        <v/>
      </c>
      <c r="CG44" s="29">
        <f>CF44+CG39-CG40</f>
        <v/>
      </c>
      <c r="CH44" s="29">
        <f>CG44+CH39-CH40</f>
        <v/>
      </c>
      <c r="CI44" s="29">
        <f>CH44+CI39-CI40</f>
        <v/>
      </c>
      <c r="CJ44" s="29">
        <f>CI44+CJ39-CJ40</f>
        <v/>
      </c>
      <c r="CK44" s="29">
        <f>CJ44+CK39-CK40</f>
        <v/>
      </c>
      <c r="CL44" s="29">
        <f>CK44+CL39-CL40</f>
        <v/>
      </c>
      <c r="CM44" s="29">
        <f>CL44+CM39-CM40</f>
        <v/>
      </c>
      <c r="CN44" s="29">
        <f>CM44+CN39-CN40</f>
        <v/>
      </c>
      <c r="CO44" s="29">
        <f>CN44+CO39-CO40</f>
        <v/>
      </c>
      <c r="CP44" s="29">
        <f>CO44+CP39-CP40</f>
        <v/>
      </c>
      <c r="CQ44" s="29">
        <f>CP44+CQ39-CQ40</f>
        <v/>
      </c>
      <c r="CR44" s="29">
        <f>CQ44+CR39-CR40</f>
        <v/>
      </c>
      <c r="CS44" s="29">
        <f>CR44+CS39-CS40</f>
        <v/>
      </c>
      <c r="CT44" s="29">
        <f>CS44+CT39-CT40</f>
        <v/>
      </c>
      <c r="CU44" s="29">
        <f>CT44+CU39-CU40</f>
        <v/>
      </c>
      <c r="CV44" s="29">
        <f>CU44+CV39-CV40</f>
        <v/>
      </c>
      <c r="CW44" s="29">
        <f>CV44+CW39-CW40</f>
        <v/>
      </c>
      <c r="CX44" s="29">
        <f>CW44+CX39-CX40</f>
        <v/>
      </c>
      <c r="CY44" s="29">
        <f>CX44+CY39-CY40</f>
        <v/>
      </c>
      <c r="CZ44" s="29">
        <f>CY44+CZ39-CZ40</f>
        <v/>
      </c>
      <c r="DA44" s="29">
        <f>CZ44+DA39-DA40</f>
        <v/>
      </c>
      <c r="DB44" s="29">
        <f>DA44+DB39-DB40</f>
        <v/>
      </c>
      <c r="DC44" s="29">
        <f>DB44+DC39-DC40</f>
        <v/>
      </c>
      <c r="DD44" s="29">
        <f>DC44+DD39-DD40</f>
        <v/>
      </c>
      <c r="DE44" s="29">
        <f>DD44+DE39-DE40</f>
        <v/>
      </c>
      <c r="DF44" s="29">
        <f>DE44+DF39-DF40</f>
        <v/>
      </c>
      <c r="DG44" s="29">
        <f>DF44+DG39-DG40</f>
        <v/>
      </c>
      <c r="DH44" s="29">
        <f>DG44+DH39-DH40</f>
        <v/>
      </c>
      <c r="DI44" s="29">
        <f>DH44+DI39-DI40</f>
        <v/>
      </c>
      <c r="DJ44" s="29">
        <f>DI44+DJ39-DJ40</f>
        <v/>
      </c>
      <c r="DK44" s="29">
        <f>DJ44+DK39-DK40</f>
        <v/>
      </c>
      <c r="DL44" s="29">
        <f>DK44+DL39-DL40</f>
        <v/>
      </c>
      <c r="DM44" s="29">
        <f>DL44+DM39-DM40</f>
        <v/>
      </c>
      <c r="DN44" s="29">
        <f>DM44+DN39-DN40</f>
        <v/>
      </c>
      <c r="DO44" s="29">
        <f>DN44+DO39-DO40</f>
        <v/>
      </c>
      <c r="DP44" s="29">
        <f>DO44+DP39-DP40</f>
        <v/>
      </c>
      <c r="DQ44" s="29">
        <f>DP44+DQ39-DQ40</f>
        <v/>
      </c>
      <c r="DR44" s="29">
        <f>DQ44+DR39-DR40</f>
        <v/>
      </c>
      <c r="DS44" s="29">
        <f>DR44+DS39-DS40</f>
        <v/>
      </c>
    </row>
    <row r="45">
      <c r="A45" s="2" t="inlineStr">
        <is>
          <t>SH_MNEED</t>
        </is>
      </c>
      <c r="B45" s="6" t="inlineStr">
        <is>
          <t>Breeding males needed</t>
        </is>
      </c>
      <c r="C45" s="2" t="inlineStr">
        <is>
          <t>head</t>
        </is>
      </c>
      <c r="D45" s="28">
        <f>IF(D42&gt;0,ROUNDUP(D42/Assumptions!$H$115,0),0)</f>
        <v/>
      </c>
      <c r="E45" s="28">
        <f>IF(E42&gt;0,ROUNDUP(E42/Assumptions!$H$115,0),0)</f>
        <v/>
      </c>
      <c r="F45" s="28">
        <f>IF(F42&gt;0,ROUNDUP(F42/Assumptions!$H$115,0),0)</f>
        <v/>
      </c>
      <c r="G45" s="28">
        <f>IF(G42&gt;0,ROUNDUP(G42/Assumptions!$H$115,0),0)</f>
        <v/>
      </c>
      <c r="H45" s="28">
        <f>IF(H42&gt;0,ROUNDUP(H42/Assumptions!$H$115,0),0)</f>
        <v/>
      </c>
      <c r="I45" s="28">
        <f>IF(I42&gt;0,ROUNDUP(I42/Assumptions!$H$115,0),0)</f>
        <v/>
      </c>
      <c r="J45" s="28">
        <f>IF(J42&gt;0,ROUNDUP(J42/Assumptions!$H$115,0),0)</f>
        <v/>
      </c>
      <c r="K45" s="28">
        <f>IF(K42&gt;0,ROUNDUP(K42/Assumptions!$H$115,0),0)</f>
        <v/>
      </c>
      <c r="L45" s="28">
        <f>IF(L42&gt;0,ROUNDUP(L42/Assumptions!$H$115,0),0)</f>
        <v/>
      </c>
      <c r="M45" s="28">
        <f>IF(M42&gt;0,ROUNDUP(M42/Assumptions!$H$115,0),0)</f>
        <v/>
      </c>
      <c r="N45" s="28">
        <f>IF(N42&gt;0,ROUNDUP(N42/Assumptions!$H$115,0),0)</f>
        <v/>
      </c>
      <c r="O45" s="28">
        <f>IF(O42&gt;0,ROUNDUP(O42/Assumptions!$H$115,0),0)</f>
        <v/>
      </c>
      <c r="P45" s="28">
        <f>IF(P42&gt;0,ROUNDUP(P42/Assumptions!$H$115,0),0)</f>
        <v/>
      </c>
      <c r="Q45" s="28">
        <f>IF(Q42&gt;0,ROUNDUP(Q42/Assumptions!$H$115,0),0)</f>
        <v/>
      </c>
      <c r="R45" s="28">
        <f>IF(R42&gt;0,ROUNDUP(R42/Assumptions!$H$115,0),0)</f>
        <v/>
      </c>
      <c r="S45" s="28">
        <f>IF(S42&gt;0,ROUNDUP(S42/Assumptions!$H$115,0),0)</f>
        <v/>
      </c>
      <c r="T45" s="28">
        <f>IF(T42&gt;0,ROUNDUP(T42/Assumptions!$H$115,0),0)</f>
        <v/>
      </c>
      <c r="U45" s="28">
        <f>IF(U42&gt;0,ROUNDUP(U42/Assumptions!$H$115,0),0)</f>
        <v/>
      </c>
      <c r="V45" s="28">
        <f>IF(V42&gt;0,ROUNDUP(V42/Assumptions!$H$115,0),0)</f>
        <v/>
      </c>
      <c r="W45" s="28">
        <f>IF(W42&gt;0,ROUNDUP(W42/Assumptions!$H$115,0),0)</f>
        <v/>
      </c>
      <c r="X45" s="28">
        <f>IF(X42&gt;0,ROUNDUP(X42/Assumptions!$H$115,0),0)</f>
        <v/>
      </c>
      <c r="Y45" s="28">
        <f>IF(Y42&gt;0,ROUNDUP(Y42/Assumptions!$H$115,0),0)</f>
        <v/>
      </c>
      <c r="Z45" s="28">
        <f>IF(Z42&gt;0,ROUNDUP(Z42/Assumptions!$H$115,0),0)</f>
        <v/>
      </c>
      <c r="AA45" s="28">
        <f>IF(AA42&gt;0,ROUNDUP(AA42/Assumptions!$H$115,0),0)</f>
        <v/>
      </c>
      <c r="AB45" s="28">
        <f>IF(AB42&gt;0,ROUNDUP(AB42/Assumptions!$H$115,0),0)</f>
        <v/>
      </c>
      <c r="AC45" s="28">
        <f>IF(AC42&gt;0,ROUNDUP(AC42/Assumptions!$H$115,0),0)</f>
        <v/>
      </c>
      <c r="AD45" s="28">
        <f>IF(AD42&gt;0,ROUNDUP(AD42/Assumptions!$H$115,0),0)</f>
        <v/>
      </c>
      <c r="AE45" s="28">
        <f>IF(AE42&gt;0,ROUNDUP(AE42/Assumptions!$H$115,0),0)</f>
        <v/>
      </c>
      <c r="AF45" s="28">
        <f>IF(AF42&gt;0,ROUNDUP(AF42/Assumptions!$H$115,0),0)</f>
        <v/>
      </c>
      <c r="AG45" s="28">
        <f>IF(AG42&gt;0,ROUNDUP(AG42/Assumptions!$H$115,0),0)</f>
        <v/>
      </c>
      <c r="AH45" s="28">
        <f>IF(AH42&gt;0,ROUNDUP(AH42/Assumptions!$H$115,0),0)</f>
        <v/>
      </c>
      <c r="AI45" s="28">
        <f>IF(AI42&gt;0,ROUNDUP(AI42/Assumptions!$H$115,0),0)</f>
        <v/>
      </c>
      <c r="AJ45" s="28">
        <f>IF(AJ42&gt;0,ROUNDUP(AJ42/Assumptions!$H$115,0),0)</f>
        <v/>
      </c>
      <c r="AK45" s="28">
        <f>IF(AK42&gt;0,ROUNDUP(AK42/Assumptions!$H$115,0),0)</f>
        <v/>
      </c>
      <c r="AL45" s="28">
        <f>IF(AL42&gt;0,ROUNDUP(AL42/Assumptions!$H$115,0),0)</f>
        <v/>
      </c>
      <c r="AM45" s="28">
        <f>IF(AM42&gt;0,ROUNDUP(AM42/Assumptions!$H$115,0),0)</f>
        <v/>
      </c>
      <c r="AN45" s="28">
        <f>IF(AN42&gt;0,ROUNDUP(AN42/Assumptions!$H$115,0),0)</f>
        <v/>
      </c>
      <c r="AO45" s="28">
        <f>IF(AO42&gt;0,ROUNDUP(AO42/Assumptions!$H$115,0),0)</f>
        <v/>
      </c>
      <c r="AP45" s="28">
        <f>IF(AP42&gt;0,ROUNDUP(AP42/Assumptions!$H$115,0),0)</f>
        <v/>
      </c>
      <c r="AQ45" s="28">
        <f>IF(AQ42&gt;0,ROUNDUP(AQ42/Assumptions!$H$115,0),0)</f>
        <v/>
      </c>
      <c r="AR45" s="28">
        <f>IF(AR42&gt;0,ROUNDUP(AR42/Assumptions!$H$115,0),0)</f>
        <v/>
      </c>
      <c r="AS45" s="28">
        <f>IF(AS42&gt;0,ROUNDUP(AS42/Assumptions!$H$115,0),0)</f>
        <v/>
      </c>
      <c r="AT45" s="28">
        <f>IF(AT42&gt;0,ROUNDUP(AT42/Assumptions!$H$115,0),0)</f>
        <v/>
      </c>
      <c r="AU45" s="28">
        <f>IF(AU42&gt;0,ROUNDUP(AU42/Assumptions!$H$115,0),0)</f>
        <v/>
      </c>
      <c r="AV45" s="28">
        <f>IF(AV42&gt;0,ROUNDUP(AV42/Assumptions!$H$115,0),0)</f>
        <v/>
      </c>
      <c r="AW45" s="28">
        <f>IF(AW42&gt;0,ROUNDUP(AW42/Assumptions!$H$115,0),0)</f>
        <v/>
      </c>
      <c r="AX45" s="28">
        <f>IF(AX42&gt;0,ROUNDUP(AX42/Assumptions!$H$115,0),0)</f>
        <v/>
      </c>
      <c r="AY45" s="28">
        <f>IF(AY42&gt;0,ROUNDUP(AY42/Assumptions!$H$115,0),0)</f>
        <v/>
      </c>
      <c r="AZ45" s="28">
        <f>IF(AZ42&gt;0,ROUNDUP(AZ42/Assumptions!$H$115,0),0)</f>
        <v/>
      </c>
      <c r="BA45" s="28">
        <f>IF(BA42&gt;0,ROUNDUP(BA42/Assumptions!$H$115,0),0)</f>
        <v/>
      </c>
      <c r="BB45" s="28">
        <f>IF(BB42&gt;0,ROUNDUP(BB42/Assumptions!$H$115,0),0)</f>
        <v/>
      </c>
      <c r="BC45" s="28">
        <f>IF(BC42&gt;0,ROUNDUP(BC42/Assumptions!$H$115,0),0)</f>
        <v/>
      </c>
      <c r="BD45" s="28">
        <f>IF(BD42&gt;0,ROUNDUP(BD42/Assumptions!$H$115,0),0)</f>
        <v/>
      </c>
      <c r="BE45" s="28">
        <f>IF(BE42&gt;0,ROUNDUP(BE42/Assumptions!$H$115,0),0)</f>
        <v/>
      </c>
      <c r="BF45" s="28">
        <f>IF(BF42&gt;0,ROUNDUP(BF42/Assumptions!$H$115,0),0)</f>
        <v/>
      </c>
      <c r="BG45" s="28">
        <f>IF(BG42&gt;0,ROUNDUP(BG42/Assumptions!$H$115,0),0)</f>
        <v/>
      </c>
      <c r="BH45" s="28">
        <f>IF(BH42&gt;0,ROUNDUP(BH42/Assumptions!$H$115,0),0)</f>
        <v/>
      </c>
      <c r="BI45" s="28">
        <f>IF(BI42&gt;0,ROUNDUP(BI42/Assumptions!$H$115,0),0)</f>
        <v/>
      </c>
      <c r="BJ45" s="28">
        <f>IF(BJ42&gt;0,ROUNDUP(BJ42/Assumptions!$H$115,0),0)</f>
        <v/>
      </c>
      <c r="BK45" s="28">
        <f>IF(BK42&gt;0,ROUNDUP(BK42/Assumptions!$H$115,0),0)</f>
        <v/>
      </c>
      <c r="BL45" s="28">
        <f>IF(BL42&gt;0,ROUNDUP(BL42/Assumptions!$H$115,0),0)</f>
        <v/>
      </c>
      <c r="BM45" s="28">
        <f>IF(BM42&gt;0,ROUNDUP(BM42/Assumptions!$H$115,0),0)</f>
        <v/>
      </c>
      <c r="BN45" s="28">
        <f>IF(BN42&gt;0,ROUNDUP(BN42/Assumptions!$H$115,0),0)</f>
        <v/>
      </c>
      <c r="BO45" s="28">
        <f>IF(BO42&gt;0,ROUNDUP(BO42/Assumptions!$H$115,0),0)</f>
        <v/>
      </c>
      <c r="BP45" s="28">
        <f>IF(BP42&gt;0,ROUNDUP(BP42/Assumptions!$H$115,0),0)</f>
        <v/>
      </c>
      <c r="BQ45" s="28">
        <f>IF(BQ42&gt;0,ROUNDUP(BQ42/Assumptions!$H$115,0),0)</f>
        <v/>
      </c>
      <c r="BR45" s="28">
        <f>IF(BR42&gt;0,ROUNDUP(BR42/Assumptions!$H$115,0),0)</f>
        <v/>
      </c>
      <c r="BS45" s="28">
        <f>IF(BS42&gt;0,ROUNDUP(BS42/Assumptions!$H$115,0),0)</f>
        <v/>
      </c>
      <c r="BT45" s="28">
        <f>IF(BT42&gt;0,ROUNDUP(BT42/Assumptions!$H$115,0),0)</f>
        <v/>
      </c>
      <c r="BU45" s="28">
        <f>IF(BU42&gt;0,ROUNDUP(BU42/Assumptions!$H$115,0),0)</f>
        <v/>
      </c>
      <c r="BV45" s="28">
        <f>IF(BV42&gt;0,ROUNDUP(BV42/Assumptions!$H$115,0),0)</f>
        <v/>
      </c>
      <c r="BW45" s="28">
        <f>IF(BW42&gt;0,ROUNDUP(BW42/Assumptions!$H$115,0),0)</f>
        <v/>
      </c>
      <c r="BX45" s="28">
        <f>IF(BX42&gt;0,ROUNDUP(BX42/Assumptions!$H$115,0),0)</f>
        <v/>
      </c>
      <c r="BY45" s="28">
        <f>IF(BY42&gt;0,ROUNDUP(BY42/Assumptions!$H$115,0),0)</f>
        <v/>
      </c>
      <c r="BZ45" s="28">
        <f>IF(BZ42&gt;0,ROUNDUP(BZ42/Assumptions!$H$115,0),0)</f>
        <v/>
      </c>
      <c r="CA45" s="28">
        <f>IF(CA42&gt;0,ROUNDUP(CA42/Assumptions!$H$115,0),0)</f>
        <v/>
      </c>
      <c r="CB45" s="28">
        <f>IF(CB42&gt;0,ROUNDUP(CB42/Assumptions!$H$115,0),0)</f>
        <v/>
      </c>
      <c r="CC45" s="28">
        <f>IF(CC42&gt;0,ROUNDUP(CC42/Assumptions!$H$115,0),0)</f>
        <v/>
      </c>
      <c r="CD45" s="28">
        <f>IF(CD42&gt;0,ROUNDUP(CD42/Assumptions!$H$115,0),0)</f>
        <v/>
      </c>
      <c r="CE45" s="28">
        <f>IF(CE42&gt;0,ROUNDUP(CE42/Assumptions!$H$115,0),0)</f>
        <v/>
      </c>
      <c r="CF45" s="28">
        <f>IF(CF42&gt;0,ROUNDUP(CF42/Assumptions!$H$115,0),0)</f>
        <v/>
      </c>
      <c r="CG45" s="28">
        <f>IF(CG42&gt;0,ROUNDUP(CG42/Assumptions!$H$115,0),0)</f>
        <v/>
      </c>
      <c r="CH45" s="28">
        <f>IF(CH42&gt;0,ROUNDUP(CH42/Assumptions!$H$115,0),0)</f>
        <v/>
      </c>
      <c r="CI45" s="28">
        <f>IF(CI42&gt;0,ROUNDUP(CI42/Assumptions!$H$115,0),0)</f>
        <v/>
      </c>
      <c r="CJ45" s="28">
        <f>IF(CJ42&gt;0,ROUNDUP(CJ42/Assumptions!$H$115,0),0)</f>
        <v/>
      </c>
      <c r="CK45" s="28">
        <f>IF(CK42&gt;0,ROUNDUP(CK42/Assumptions!$H$115,0),0)</f>
        <v/>
      </c>
      <c r="CL45" s="28">
        <f>IF(CL42&gt;0,ROUNDUP(CL42/Assumptions!$H$115,0),0)</f>
        <v/>
      </c>
      <c r="CM45" s="28">
        <f>IF(CM42&gt;0,ROUNDUP(CM42/Assumptions!$H$115,0),0)</f>
        <v/>
      </c>
      <c r="CN45" s="28">
        <f>IF(CN42&gt;0,ROUNDUP(CN42/Assumptions!$H$115,0),0)</f>
        <v/>
      </c>
      <c r="CO45" s="28">
        <f>IF(CO42&gt;0,ROUNDUP(CO42/Assumptions!$H$115,0),0)</f>
        <v/>
      </c>
      <c r="CP45" s="28">
        <f>IF(CP42&gt;0,ROUNDUP(CP42/Assumptions!$H$115,0),0)</f>
        <v/>
      </c>
      <c r="CQ45" s="28">
        <f>IF(CQ42&gt;0,ROUNDUP(CQ42/Assumptions!$H$115,0),0)</f>
        <v/>
      </c>
      <c r="CR45" s="28">
        <f>IF(CR42&gt;0,ROUNDUP(CR42/Assumptions!$H$115,0),0)</f>
        <v/>
      </c>
      <c r="CS45" s="28">
        <f>IF(CS42&gt;0,ROUNDUP(CS42/Assumptions!$H$115,0),0)</f>
        <v/>
      </c>
      <c r="CT45" s="28">
        <f>IF(CT42&gt;0,ROUNDUP(CT42/Assumptions!$H$115,0),0)</f>
        <v/>
      </c>
      <c r="CU45" s="28">
        <f>IF(CU42&gt;0,ROUNDUP(CU42/Assumptions!$H$115,0),0)</f>
        <v/>
      </c>
      <c r="CV45" s="28">
        <f>IF(CV42&gt;0,ROUNDUP(CV42/Assumptions!$H$115,0),0)</f>
        <v/>
      </c>
      <c r="CW45" s="28">
        <f>IF(CW42&gt;0,ROUNDUP(CW42/Assumptions!$H$115,0),0)</f>
        <v/>
      </c>
      <c r="CX45" s="28">
        <f>IF(CX42&gt;0,ROUNDUP(CX42/Assumptions!$H$115,0),0)</f>
        <v/>
      </c>
      <c r="CY45" s="28">
        <f>IF(CY42&gt;0,ROUNDUP(CY42/Assumptions!$H$115,0),0)</f>
        <v/>
      </c>
      <c r="CZ45" s="28">
        <f>IF(CZ42&gt;0,ROUNDUP(CZ42/Assumptions!$H$115,0),0)</f>
        <v/>
      </c>
      <c r="DA45" s="28">
        <f>IF(DA42&gt;0,ROUNDUP(DA42/Assumptions!$H$115,0),0)</f>
        <v/>
      </c>
      <c r="DB45" s="28">
        <f>IF(DB42&gt;0,ROUNDUP(DB42/Assumptions!$H$115,0),0)</f>
        <v/>
      </c>
      <c r="DC45" s="28">
        <f>IF(DC42&gt;0,ROUNDUP(DC42/Assumptions!$H$115,0),0)</f>
        <v/>
      </c>
      <c r="DD45" s="28">
        <f>IF(DD42&gt;0,ROUNDUP(DD42/Assumptions!$H$115,0),0)</f>
        <v/>
      </c>
      <c r="DE45" s="28">
        <f>IF(DE42&gt;0,ROUNDUP(DE42/Assumptions!$H$115,0),0)</f>
        <v/>
      </c>
      <c r="DF45" s="28">
        <f>IF(DF42&gt;0,ROUNDUP(DF42/Assumptions!$H$115,0),0)</f>
        <v/>
      </c>
      <c r="DG45" s="28">
        <f>IF(DG42&gt;0,ROUNDUP(DG42/Assumptions!$H$115,0),0)</f>
        <v/>
      </c>
      <c r="DH45" s="28">
        <f>IF(DH42&gt;0,ROUNDUP(DH42/Assumptions!$H$115,0),0)</f>
        <v/>
      </c>
      <c r="DI45" s="28">
        <f>IF(DI42&gt;0,ROUNDUP(DI42/Assumptions!$H$115,0),0)</f>
        <v/>
      </c>
      <c r="DJ45" s="28">
        <f>IF(DJ42&gt;0,ROUNDUP(DJ42/Assumptions!$H$115,0),0)</f>
        <v/>
      </c>
      <c r="DK45" s="28">
        <f>IF(DK42&gt;0,ROUNDUP(DK42/Assumptions!$H$115,0),0)</f>
        <v/>
      </c>
      <c r="DL45" s="28">
        <f>IF(DL42&gt;0,ROUNDUP(DL42/Assumptions!$H$115,0),0)</f>
        <v/>
      </c>
      <c r="DM45" s="28">
        <f>IF(DM42&gt;0,ROUNDUP(DM42/Assumptions!$H$115,0),0)</f>
        <v/>
      </c>
      <c r="DN45" s="28">
        <f>IF(DN42&gt;0,ROUNDUP(DN42/Assumptions!$H$115,0),0)</f>
        <v/>
      </c>
      <c r="DO45" s="28">
        <f>IF(DO42&gt;0,ROUNDUP(DO42/Assumptions!$H$115,0),0)</f>
        <v/>
      </c>
      <c r="DP45" s="28">
        <f>IF(DP42&gt;0,ROUNDUP(DP42/Assumptions!$H$115,0),0)</f>
        <v/>
      </c>
      <c r="DQ45" s="28">
        <f>IF(DQ42&gt;0,ROUNDUP(DQ42/Assumptions!$H$115,0),0)</f>
        <v/>
      </c>
      <c r="DR45" s="28">
        <f>IF(DR42&gt;0,ROUNDUP(DR42/Assumptions!$H$115,0),0)</f>
        <v/>
      </c>
      <c r="DS45" s="28">
        <f>IF(DS42&gt;0,ROUNDUP(DS42/Assumptions!$H$115,0),0)</f>
        <v/>
      </c>
    </row>
    <row r="46">
      <c r="A46" s="2" t="inlineStr">
        <is>
          <t>SH_MALES</t>
        </is>
      </c>
      <c r="B46" s="6" t="inlineStr">
        <is>
          <t>Breeding males</t>
        </is>
      </c>
      <c r="C46" s="2" t="inlineStr">
        <is>
          <t>head</t>
        </is>
      </c>
      <c r="D46" s="28">
        <f>MAX(0+D34,D45)</f>
        <v/>
      </c>
      <c r="E46" s="28">
        <f>MAX(D46+E34,E45)</f>
        <v/>
      </c>
      <c r="F46" s="28">
        <f>MAX(E46+F34,F45)</f>
        <v/>
      </c>
      <c r="G46" s="28">
        <f>MAX(F46+G34,G45)</f>
        <v/>
      </c>
      <c r="H46" s="28">
        <f>MAX(G46+H34,H45)</f>
        <v/>
      </c>
      <c r="I46" s="28">
        <f>MAX(H46+I34,I45)</f>
        <v/>
      </c>
      <c r="J46" s="28">
        <f>MAX(I46+J34,J45)</f>
        <v/>
      </c>
      <c r="K46" s="28">
        <f>MAX(J46+K34,K45)</f>
        <v/>
      </c>
      <c r="L46" s="28">
        <f>MAX(K46+L34,L45)</f>
        <v/>
      </c>
      <c r="M46" s="28">
        <f>MAX(L46+M34,M45)</f>
        <v/>
      </c>
      <c r="N46" s="28">
        <f>MAX(M46+N34,N45)</f>
        <v/>
      </c>
      <c r="O46" s="28">
        <f>MAX(N46+O34,O45)</f>
        <v/>
      </c>
      <c r="P46" s="28">
        <f>MAX(O46+P34,P45)</f>
        <v/>
      </c>
      <c r="Q46" s="28">
        <f>MAX(P46+Q34,Q45)</f>
        <v/>
      </c>
      <c r="R46" s="28">
        <f>MAX(Q46+R34,R45)</f>
        <v/>
      </c>
      <c r="S46" s="28">
        <f>MAX(R46+S34,S45)</f>
        <v/>
      </c>
      <c r="T46" s="28">
        <f>MAX(S46+T34,T45)</f>
        <v/>
      </c>
      <c r="U46" s="28">
        <f>MAX(T46+U34,U45)</f>
        <v/>
      </c>
      <c r="V46" s="28">
        <f>MAX(U46+V34,V45)</f>
        <v/>
      </c>
      <c r="W46" s="28">
        <f>MAX(V46+W34,W45)</f>
        <v/>
      </c>
      <c r="X46" s="28">
        <f>MAX(W46+X34,X45)</f>
        <v/>
      </c>
      <c r="Y46" s="28">
        <f>MAX(X46+Y34,Y45)</f>
        <v/>
      </c>
      <c r="Z46" s="28">
        <f>MAX(Y46+Z34,Z45)</f>
        <v/>
      </c>
      <c r="AA46" s="28">
        <f>MAX(Z46+AA34,AA45)</f>
        <v/>
      </c>
      <c r="AB46" s="28">
        <f>MAX(AA46+AB34,AB45)</f>
        <v/>
      </c>
      <c r="AC46" s="28">
        <f>MAX(AB46+AC34,AC45)</f>
        <v/>
      </c>
      <c r="AD46" s="28">
        <f>MAX(AC46+AD34,AD45)</f>
        <v/>
      </c>
      <c r="AE46" s="28">
        <f>MAX(AD46+AE34,AE45)</f>
        <v/>
      </c>
      <c r="AF46" s="28">
        <f>MAX(AE46+AF34,AF45)</f>
        <v/>
      </c>
      <c r="AG46" s="28">
        <f>MAX(AF46+AG34,AG45)</f>
        <v/>
      </c>
      <c r="AH46" s="28">
        <f>MAX(AG46+AH34,AH45)</f>
        <v/>
      </c>
      <c r="AI46" s="28">
        <f>MAX(AH46+AI34,AI45)</f>
        <v/>
      </c>
      <c r="AJ46" s="28">
        <f>MAX(AI46+AJ34,AJ45)</f>
        <v/>
      </c>
      <c r="AK46" s="28">
        <f>MAX(AJ46+AK34,AK45)</f>
        <v/>
      </c>
      <c r="AL46" s="28">
        <f>MAX(AK46+AL34,AL45)</f>
        <v/>
      </c>
      <c r="AM46" s="28">
        <f>MAX(AL46+AM34,AM45)</f>
        <v/>
      </c>
      <c r="AN46" s="28">
        <f>MAX(AM46+AN34,AN45)</f>
        <v/>
      </c>
      <c r="AO46" s="28">
        <f>MAX(AN46+AO34,AO45)</f>
        <v/>
      </c>
      <c r="AP46" s="28">
        <f>MAX(AO46+AP34,AP45)</f>
        <v/>
      </c>
      <c r="AQ46" s="28">
        <f>MAX(AP46+AQ34,AQ45)</f>
        <v/>
      </c>
      <c r="AR46" s="28">
        <f>MAX(AQ46+AR34,AR45)</f>
        <v/>
      </c>
      <c r="AS46" s="28">
        <f>MAX(AR46+AS34,AS45)</f>
        <v/>
      </c>
      <c r="AT46" s="28">
        <f>MAX(AS46+AT34,AT45)</f>
        <v/>
      </c>
      <c r="AU46" s="28">
        <f>MAX(AT46+AU34,AU45)</f>
        <v/>
      </c>
      <c r="AV46" s="28">
        <f>MAX(AU46+AV34,AV45)</f>
        <v/>
      </c>
      <c r="AW46" s="28">
        <f>MAX(AV46+AW34,AW45)</f>
        <v/>
      </c>
      <c r="AX46" s="28">
        <f>MAX(AW46+AX34,AX45)</f>
        <v/>
      </c>
      <c r="AY46" s="28">
        <f>MAX(AX46+AY34,AY45)</f>
        <v/>
      </c>
      <c r="AZ46" s="28">
        <f>MAX(AY46+AZ34,AZ45)</f>
        <v/>
      </c>
      <c r="BA46" s="28">
        <f>MAX(AZ46+BA34,BA45)</f>
        <v/>
      </c>
      <c r="BB46" s="28">
        <f>MAX(BA46+BB34,BB45)</f>
        <v/>
      </c>
      <c r="BC46" s="28">
        <f>MAX(BB46+BC34,BC45)</f>
        <v/>
      </c>
      <c r="BD46" s="28">
        <f>MAX(BC46+BD34,BD45)</f>
        <v/>
      </c>
      <c r="BE46" s="28">
        <f>MAX(BD46+BE34,BE45)</f>
        <v/>
      </c>
      <c r="BF46" s="28">
        <f>MAX(BE46+BF34,BF45)</f>
        <v/>
      </c>
      <c r="BG46" s="28">
        <f>MAX(BF46+BG34,BG45)</f>
        <v/>
      </c>
      <c r="BH46" s="28">
        <f>MAX(BG46+BH34,BH45)</f>
        <v/>
      </c>
      <c r="BI46" s="28">
        <f>MAX(BH46+BI34,BI45)</f>
        <v/>
      </c>
      <c r="BJ46" s="28">
        <f>MAX(BI46+BJ34,BJ45)</f>
        <v/>
      </c>
      <c r="BK46" s="28">
        <f>MAX(BJ46+BK34,BK45)</f>
        <v/>
      </c>
      <c r="BL46" s="28">
        <f>MAX(BK46+BL34,BL45)</f>
        <v/>
      </c>
      <c r="BM46" s="28">
        <f>MAX(BL46+BM34,BM45)</f>
        <v/>
      </c>
      <c r="BN46" s="28">
        <f>MAX(BM46+BN34,BN45)</f>
        <v/>
      </c>
      <c r="BO46" s="28">
        <f>MAX(BN46+BO34,BO45)</f>
        <v/>
      </c>
      <c r="BP46" s="28">
        <f>MAX(BO46+BP34,BP45)</f>
        <v/>
      </c>
      <c r="BQ46" s="28">
        <f>MAX(BP46+BQ34,BQ45)</f>
        <v/>
      </c>
      <c r="BR46" s="28">
        <f>MAX(BQ46+BR34,BR45)</f>
        <v/>
      </c>
      <c r="BS46" s="28">
        <f>MAX(BR46+BS34,BS45)</f>
        <v/>
      </c>
      <c r="BT46" s="28">
        <f>MAX(BS46+BT34,BT45)</f>
        <v/>
      </c>
      <c r="BU46" s="28">
        <f>MAX(BT46+BU34,BU45)</f>
        <v/>
      </c>
      <c r="BV46" s="28">
        <f>MAX(BU46+BV34,BV45)</f>
        <v/>
      </c>
      <c r="BW46" s="28">
        <f>MAX(BV46+BW34,BW45)</f>
        <v/>
      </c>
      <c r="BX46" s="28">
        <f>MAX(BW46+BX34,BX45)</f>
        <v/>
      </c>
      <c r="BY46" s="28">
        <f>MAX(BX46+BY34,BY45)</f>
        <v/>
      </c>
      <c r="BZ46" s="28">
        <f>MAX(BY46+BZ34,BZ45)</f>
        <v/>
      </c>
      <c r="CA46" s="28">
        <f>MAX(BZ46+CA34,CA45)</f>
        <v/>
      </c>
      <c r="CB46" s="28">
        <f>MAX(CA46+CB34,CB45)</f>
        <v/>
      </c>
      <c r="CC46" s="28">
        <f>MAX(CB46+CC34,CC45)</f>
        <v/>
      </c>
      <c r="CD46" s="28">
        <f>MAX(CC46+CD34,CD45)</f>
        <v/>
      </c>
      <c r="CE46" s="28">
        <f>MAX(CD46+CE34,CE45)</f>
        <v/>
      </c>
      <c r="CF46" s="28">
        <f>MAX(CE46+CF34,CF45)</f>
        <v/>
      </c>
      <c r="CG46" s="28">
        <f>MAX(CF46+CG34,CG45)</f>
        <v/>
      </c>
      <c r="CH46" s="28">
        <f>MAX(CG46+CH34,CH45)</f>
        <v/>
      </c>
      <c r="CI46" s="28">
        <f>MAX(CH46+CI34,CI45)</f>
        <v/>
      </c>
      <c r="CJ46" s="28">
        <f>MAX(CI46+CJ34,CJ45)</f>
        <v/>
      </c>
      <c r="CK46" s="28">
        <f>MAX(CJ46+CK34,CK45)</f>
        <v/>
      </c>
      <c r="CL46" s="28">
        <f>MAX(CK46+CL34,CL45)</f>
        <v/>
      </c>
      <c r="CM46" s="28">
        <f>MAX(CL46+CM34,CM45)</f>
        <v/>
      </c>
      <c r="CN46" s="28">
        <f>MAX(CM46+CN34,CN45)</f>
        <v/>
      </c>
      <c r="CO46" s="28">
        <f>MAX(CN46+CO34,CO45)</f>
        <v/>
      </c>
      <c r="CP46" s="28">
        <f>MAX(CO46+CP34,CP45)</f>
        <v/>
      </c>
      <c r="CQ46" s="28">
        <f>MAX(CP46+CQ34,CQ45)</f>
        <v/>
      </c>
      <c r="CR46" s="28">
        <f>MAX(CQ46+CR34,CR45)</f>
        <v/>
      </c>
      <c r="CS46" s="28">
        <f>MAX(CR46+CS34,CS45)</f>
        <v/>
      </c>
      <c r="CT46" s="28">
        <f>MAX(CS46+CT34,CT45)</f>
        <v/>
      </c>
      <c r="CU46" s="28">
        <f>MAX(CT46+CU34,CU45)</f>
        <v/>
      </c>
      <c r="CV46" s="28">
        <f>MAX(CU46+CV34,CV45)</f>
        <v/>
      </c>
      <c r="CW46" s="28">
        <f>MAX(CV46+CW34,CW45)</f>
        <v/>
      </c>
      <c r="CX46" s="28">
        <f>MAX(CW46+CX34,CX45)</f>
        <v/>
      </c>
      <c r="CY46" s="28">
        <f>MAX(CX46+CY34,CY45)</f>
        <v/>
      </c>
      <c r="CZ46" s="28">
        <f>MAX(CY46+CZ34,CZ45)</f>
        <v/>
      </c>
      <c r="DA46" s="28">
        <f>MAX(CZ46+DA34,DA45)</f>
        <v/>
      </c>
      <c r="DB46" s="28">
        <f>MAX(DA46+DB34,DB45)</f>
        <v/>
      </c>
      <c r="DC46" s="28">
        <f>MAX(DB46+DC34,DC45)</f>
        <v/>
      </c>
      <c r="DD46" s="28">
        <f>MAX(DC46+DD34,DD45)</f>
        <v/>
      </c>
      <c r="DE46" s="28">
        <f>MAX(DD46+DE34,DE45)</f>
        <v/>
      </c>
      <c r="DF46" s="28">
        <f>MAX(DE46+DF34,DF45)</f>
        <v/>
      </c>
      <c r="DG46" s="28">
        <f>MAX(DF46+DG34,DG45)</f>
        <v/>
      </c>
      <c r="DH46" s="28">
        <f>MAX(DG46+DH34,DH45)</f>
        <v/>
      </c>
      <c r="DI46" s="28">
        <f>MAX(DH46+DI34,DI45)</f>
        <v/>
      </c>
      <c r="DJ46" s="28">
        <f>MAX(DI46+DJ34,DJ45)</f>
        <v/>
      </c>
      <c r="DK46" s="28">
        <f>MAX(DJ46+DK34,DK45)</f>
        <v/>
      </c>
      <c r="DL46" s="28">
        <f>MAX(DK46+DL34,DL45)</f>
        <v/>
      </c>
      <c r="DM46" s="28">
        <f>MAX(DL46+DM34,DM45)</f>
        <v/>
      </c>
      <c r="DN46" s="28">
        <f>MAX(DM46+DN34,DN45)</f>
        <v/>
      </c>
      <c r="DO46" s="28">
        <f>MAX(DN46+DO34,DO45)</f>
        <v/>
      </c>
      <c r="DP46" s="28">
        <f>MAX(DO46+DP34,DP45)</f>
        <v/>
      </c>
      <c r="DQ46" s="28">
        <f>MAX(DP46+DQ34,DQ45)</f>
        <v/>
      </c>
      <c r="DR46" s="28">
        <f>MAX(DQ46+DR34,DR45)</f>
        <v/>
      </c>
      <c r="DS46" s="28">
        <f>MAX(DR46+DS34,DS45)</f>
        <v/>
      </c>
    </row>
    <row r="47">
      <c r="A47" s="2" t="inlineStr">
        <is>
          <t>SH_MBUY</t>
        </is>
      </c>
      <c r="B47" s="6" t="inlineStr">
        <is>
          <t>Breeding males bought (all)</t>
        </is>
      </c>
      <c r="C47" s="2" t="inlineStr">
        <is>
          <t>head</t>
        </is>
      </c>
      <c r="D47" s="28">
        <f>D46-0</f>
        <v/>
      </c>
      <c r="E47" s="28">
        <f>E46-D46</f>
        <v/>
      </c>
      <c r="F47" s="28">
        <f>F46-E46</f>
        <v/>
      </c>
      <c r="G47" s="28">
        <f>G46-F46</f>
        <v/>
      </c>
      <c r="H47" s="28">
        <f>H46-G46</f>
        <v/>
      </c>
      <c r="I47" s="28">
        <f>I46-H46</f>
        <v/>
      </c>
      <c r="J47" s="28">
        <f>J46-I46</f>
        <v/>
      </c>
      <c r="K47" s="28">
        <f>K46-J46</f>
        <v/>
      </c>
      <c r="L47" s="28">
        <f>L46-K46</f>
        <v/>
      </c>
      <c r="M47" s="28">
        <f>M46-L46</f>
        <v/>
      </c>
      <c r="N47" s="28">
        <f>N46-M46</f>
        <v/>
      </c>
      <c r="O47" s="28">
        <f>O46-N46</f>
        <v/>
      </c>
      <c r="P47" s="28">
        <f>P46-O46</f>
        <v/>
      </c>
      <c r="Q47" s="28">
        <f>Q46-P46</f>
        <v/>
      </c>
      <c r="R47" s="28">
        <f>R46-Q46</f>
        <v/>
      </c>
      <c r="S47" s="28">
        <f>S46-R46</f>
        <v/>
      </c>
      <c r="T47" s="28">
        <f>T46-S46</f>
        <v/>
      </c>
      <c r="U47" s="28">
        <f>U46-T46</f>
        <v/>
      </c>
      <c r="V47" s="28">
        <f>V46-U46</f>
        <v/>
      </c>
      <c r="W47" s="28">
        <f>W46-V46</f>
        <v/>
      </c>
      <c r="X47" s="28">
        <f>X46-W46</f>
        <v/>
      </c>
      <c r="Y47" s="28">
        <f>Y46-X46</f>
        <v/>
      </c>
      <c r="Z47" s="28">
        <f>Z46-Y46</f>
        <v/>
      </c>
      <c r="AA47" s="28">
        <f>AA46-Z46</f>
        <v/>
      </c>
      <c r="AB47" s="28">
        <f>AB46-AA46</f>
        <v/>
      </c>
      <c r="AC47" s="28">
        <f>AC46-AB46</f>
        <v/>
      </c>
      <c r="AD47" s="28">
        <f>AD46-AC46</f>
        <v/>
      </c>
      <c r="AE47" s="28">
        <f>AE46-AD46</f>
        <v/>
      </c>
      <c r="AF47" s="28">
        <f>AF46-AE46</f>
        <v/>
      </c>
      <c r="AG47" s="28">
        <f>AG46-AF46</f>
        <v/>
      </c>
      <c r="AH47" s="28">
        <f>AH46-AG46</f>
        <v/>
      </c>
      <c r="AI47" s="28">
        <f>AI46-AH46</f>
        <v/>
      </c>
      <c r="AJ47" s="28">
        <f>AJ46-AI46</f>
        <v/>
      </c>
      <c r="AK47" s="28">
        <f>AK46-AJ46</f>
        <v/>
      </c>
      <c r="AL47" s="28">
        <f>AL46-AK46</f>
        <v/>
      </c>
      <c r="AM47" s="28">
        <f>AM46-AL46</f>
        <v/>
      </c>
      <c r="AN47" s="28">
        <f>AN46-AM46</f>
        <v/>
      </c>
      <c r="AO47" s="28">
        <f>AO46-AN46</f>
        <v/>
      </c>
      <c r="AP47" s="28">
        <f>AP46-AO46</f>
        <v/>
      </c>
      <c r="AQ47" s="28">
        <f>AQ46-AP46</f>
        <v/>
      </c>
      <c r="AR47" s="28">
        <f>AR46-AQ46</f>
        <v/>
      </c>
      <c r="AS47" s="28">
        <f>AS46-AR46</f>
        <v/>
      </c>
      <c r="AT47" s="28">
        <f>AT46-AS46</f>
        <v/>
      </c>
      <c r="AU47" s="28">
        <f>AU46-AT46</f>
        <v/>
      </c>
      <c r="AV47" s="28">
        <f>AV46-AU46</f>
        <v/>
      </c>
      <c r="AW47" s="28">
        <f>AW46-AV46</f>
        <v/>
      </c>
      <c r="AX47" s="28">
        <f>AX46-AW46</f>
        <v/>
      </c>
      <c r="AY47" s="28">
        <f>AY46-AX46</f>
        <v/>
      </c>
      <c r="AZ47" s="28">
        <f>AZ46-AY46</f>
        <v/>
      </c>
      <c r="BA47" s="28">
        <f>BA46-AZ46</f>
        <v/>
      </c>
      <c r="BB47" s="28">
        <f>BB46-BA46</f>
        <v/>
      </c>
      <c r="BC47" s="28">
        <f>BC46-BB46</f>
        <v/>
      </c>
      <c r="BD47" s="28">
        <f>BD46-BC46</f>
        <v/>
      </c>
      <c r="BE47" s="28">
        <f>BE46-BD46</f>
        <v/>
      </c>
      <c r="BF47" s="28">
        <f>BF46-BE46</f>
        <v/>
      </c>
      <c r="BG47" s="28">
        <f>BG46-BF46</f>
        <v/>
      </c>
      <c r="BH47" s="28">
        <f>BH46-BG46</f>
        <v/>
      </c>
      <c r="BI47" s="28">
        <f>BI46-BH46</f>
        <v/>
      </c>
      <c r="BJ47" s="28">
        <f>BJ46-BI46</f>
        <v/>
      </c>
      <c r="BK47" s="28">
        <f>BK46-BJ46</f>
        <v/>
      </c>
      <c r="BL47" s="28">
        <f>BL46-BK46</f>
        <v/>
      </c>
      <c r="BM47" s="28">
        <f>BM46-BL46</f>
        <v/>
      </c>
      <c r="BN47" s="28">
        <f>BN46-BM46</f>
        <v/>
      </c>
      <c r="BO47" s="28">
        <f>BO46-BN46</f>
        <v/>
      </c>
      <c r="BP47" s="28">
        <f>BP46-BO46</f>
        <v/>
      </c>
      <c r="BQ47" s="28">
        <f>BQ46-BP46</f>
        <v/>
      </c>
      <c r="BR47" s="28">
        <f>BR46-BQ46</f>
        <v/>
      </c>
      <c r="BS47" s="28">
        <f>BS46-BR46</f>
        <v/>
      </c>
      <c r="BT47" s="28">
        <f>BT46-BS46</f>
        <v/>
      </c>
      <c r="BU47" s="28">
        <f>BU46-BT46</f>
        <v/>
      </c>
      <c r="BV47" s="28">
        <f>BV46-BU46</f>
        <v/>
      </c>
      <c r="BW47" s="28">
        <f>BW46-BV46</f>
        <v/>
      </c>
      <c r="BX47" s="28">
        <f>BX46-BW46</f>
        <v/>
      </c>
      <c r="BY47" s="28">
        <f>BY46-BX46</f>
        <v/>
      </c>
      <c r="BZ47" s="28">
        <f>BZ46-BY46</f>
        <v/>
      </c>
      <c r="CA47" s="28">
        <f>CA46-BZ46</f>
        <v/>
      </c>
      <c r="CB47" s="28">
        <f>CB46-CA46</f>
        <v/>
      </c>
      <c r="CC47" s="28">
        <f>CC46-CB46</f>
        <v/>
      </c>
      <c r="CD47" s="28">
        <f>CD46-CC46</f>
        <v/>
      </c>
      <c r="CE47" s="28">
        <f>CE46-CD46</f>
        <v/>
      </c>
      <c r="CF47" s="28">
        <f>CF46-CE46</f>
        <v/>
      </c>
      <c r="CG47" s="28">
        <f>CG46-CF46</f>
        <v/>
      </c>
      <c r="CH47" s="28">
        <f>CH46-CG46</f>
        <v/>
      </c>
      <c r="CI47" s="28">
        <f>CI46-CH46</f>
        <v/>
      </c>
      <c r="CJ47" s="28">
        <f>CJ46-CI46</f>
        <v/>
      </c>
      <c r="CK47" s="28">
        <f>CK46-CJ46</f>
        <v/>
      </c>
      <c r="CL47" s="28">
        <f>CL46-CK46</f>
        <v/>
      </c>
      <c r="CM47" s="28">
        <f>CM46-CL46</f>
        <v/>
      </c>
      <c r="CN47" s="28">
        <f>CN46-CM46</f>
        <v/>
      </c>
      <c r="CO47" s="28">
        <f>CO46-CN46</f>
        <v/>
      </c>
      <c r="CP47" s="28">
        <f>CP46-CO46</f>
        <v/>
      </c>
      <c r="CQ47" s="28">
        <f>CQ46-CP46</f>
        <v/>
      </c>
      <c r="CR47" s="28">
        <f>CR46-CQ46</f>
        <v/>
      </c>
      <c r="CS47" s="28">
        <f>CS46-CR46</f>
        <v/>
      </c>
      <c r="CT47" s="28">
        <f>CT46-CS46</f>
        <v/>
      </c>
      <c r="CU47" s="28">
        <f>CU46-CT46</f>
        <v/>
      </c>
      <c r="CV47" s="28">
        <f>CV46-CU46</f>
        <v/>
      </c>
      <c r="CW47" s="28">
        <f>CW46-CV46</f>
        <v/>
      </c>
      <c r="CX47" s="28">
        <f>CX46-CW46</f>
        <v/>
      </c>
      <c r="CY47" s="28">
        <f>CY46-CX46</f>
        <v/>
      </c>
      <c r="CZ47" s="28">
        <f>CZ46-CY46</f>
        <v/>
      </c>
      <c r="DA47" s="28">
        <f>DA46-CZ46</f>
        <v/>
      </c>
      <c r="DB47" s="28">
        <f>DB46-DA46</f>
        <v/>
      </c>
      <c r="DC47" s="28">
        <f>DC46-DB46</f>
        <v/>
      </c>
      <c r="DD47" s="28">
        <f>DD46-DC46</f>
        <v/>
      </c>
      <c r="DE47" s="28">
        <f>DE46-DD46</f>
        <v/>
      </c>
      <c r="DF47" s="28">
        <f>DF46-DE46</f>
        <v/>
      </c>
      <c r="DG47" s="28">
        <f>DG46-DF46</f>
        <v/>
      </c>
      <c r="DH47" s="28">
        <f>DH46-DG46</f>
        <v/>
      </c>
      <c r="DI47" s="28">
        <f>DI46-DH46</f>
        <v/>
      </c>
      <c r="DJ47" s="28">
        <f>DJ46-DI46</f>
        <v/>
      </c>
      <c r="DK47" s="28">
        <f>DK46-DJ46</f>
        <v/>
      </c>
      <c r="DL47" s="28">
        <f>DL46-DK46</f>
        <v/>
      </c>
      <c r="DM47" s="28">
        <f>DM46-DL46</f>
        <v/>
      </c>
      <c r="DN47" s="28">
        <f>DN46-DM46</f>
        <v/>
      </c>
      <c r="DO47" s="28">
        <f>DO46-DN46</f>
        <v/>
      </c>
      <c r="DP47" s="28">
        <f>DP46-DO46</f>
        <v/>
      </c>
      <c r="DQ47" s="28">
        <f>DQ46-DP46</f>
        <v/>
      </c>
      <c r="DR47" s="28">
        <f>DR46-DQ46</f>
        <v/>
      </c>
      <c r="DS47" s="28">
        <f>DS46-DR46</f>
        <v/>
      </c>
    </row>
    <row r="48">
      <c r="A48" s="2" t="inlineStr">
        <is>
          <t>SH_HEAD</t>
        </is>
      </c>
      <c r="B48" s="3" t="inlineStr">
        <is>
          <t>All animals</t>
        </is>
      </c>
      <c r="C48" s="2" t="inlineStr">
        <is>
          <t>head</t>
        </is>
      </c>
      <c r="D48" s="35">
        <f>D42+D46+D44</f>
        <v/>
      </c>
      <c r="E48" s="35">
        <f>E42+E46+E44</f>
        <v/>
      </c>
      <c r="F48" s="35">
        <f>F42+F46+F44</f>
        <v/>
      </c>
      <c r="G48" s="35">
        <f>G42+G46+G44</f>
        <v/>
      </c>
      <c r="H48" s="35">
        <f>H42+H46+H44</f>
        <v/>
      </c>
      <c r="I48" s="35">
        <f>I42+I46+I44</f>
        <v/>
      </c>
      <c r="J48" s="35">
        <f>J42+J46+J44</f>
        <v/>
      </c>
      <c r="K48" s="35">
        <f>K42+K46+K44</f>
        <v/>
      </c>
      <c r="L48" s="35">
        <f>L42+L46+L44</f>
        <v/>
      </c>
      <c r="M48" s="35">
        <f>M42+M46+M44</f>
        <v/>
      </c>
      <c r="N48" s="35">
        <f>N42+N46+N44</f>
        <v/>
      </c>
      <c r="O48" s="35">
        <f>O42+O46+O44</f>
        <v/>
      </c>
      <c r="P48" s="35">
        <f>P42+P46+P44</f>
        <v/>
      </c>
      <c r="Q48" s="35">
        <f>Q42+Q46+Q44</f>
        <v/>
      </c>
      <c r="R48" s="35">
        <f>R42+R46+R44</f>
        <v/>
      </c>
      <c r="S48" s="35">
        <f>S42+S46+S44</f>
        <v/>
      </c>
      <c r="T48" s="35">
        <f>T42+T46+T44</f>
        <v/>
      </c>
      <c r="U48" s="35">
        <f>U42+U46+U44</f>
        <v/>
      </c>
      <c r="V48" s="35">
        <f>V42+V46+V44</f>
        <v/>
      </c>
      <c r="W48" s="35">
        <f>W42+W46+W44</f>
        <v/>
      </c>
      <c r="X48" s="35">
        <f>X42+X46+X44</f>
        <v/>
      </c>
      <c r="Y48" s="35">
        <f>Y42+Y46+Y44</f>
        <v/>
      </c>
      <c r="Z48" s="35">
        <f>Z42+Z46+Z44</f>
        <v/>
      </c>
      <c r="AA48" s="35">
        <f>AA42+AA46+AA44</f>
        <v/>
      </c>
      <c r="AB48" s="35">
        <f>AB42+AB46+AB44</f>
        <v/>
      </c>
      <c r="AC48" s="35">
        <f>AC42+AC46+AC44</f>
        <v/>
      </c>
      <c r="AD48" s="35">
        <f>AD42+AD46+AD44</f>
        <v/>
      </c>
      <c r="AE48" s="35">
        <f>AE42+AE46+AE44</f>
        <v/>
      </c>
      <c r="AF48" s="35">
        <f>AF42+AF46+AF44</f>
        <v/>
      </c>
      <c r="AG48" s="35">
        <f>AG42+AG46+AG44</f>
        <v/>
      </c>
      <c r="AH48" s="35">
        <f>AH42+AH46+AH44</f>
        <v/>
      </c>
      <c r="AI48" s="35">
        <f>AI42+AI46+AI44</f>
        <v/>
      </c>
      <c r="AJ48" s="35">
        <f>AJ42+AJ46+AJ44</f>
        <v/>
      </c>
      <c r="AK48" s="35">
        <f>AK42+AK46+AK44</f>
        <v/>
      </c>
      <c r="AL48" s="35">
        <f>AL42+AL46+AL44</f>
        <v/>
      </c>
      <c r="AM48" s="35">
        <f>AM42+AM46+AM44</f>
        <v/>
      </c>
      <c r="AN48" s="35">
        <f>AN42+AN46+AN44</f>
        <v/>
      </c>
      <c r="AO48" s="35">
        <f>AO42+AO46+AO44</f>
        <v/>
      </c>
      <c r="AP48" s="35">
        <f>AP42+AP46+AP44</f>
        <v/>
      </c>
      <c r="AQ48" s="35">
        <f>AQ42+AQ46+AQ44</f>
        <v/>
      </c>
      <c r="AR48" s="35">
        <f>AR42+AR46+AR44</f>
        <v/>
      </c>
      <c r="AS48" s="35">
        <f>AS42+AS46+AS44</f>
        <v/>
      </c>
      <c r="AT48" s="35">
        <f>AT42+AT46+AT44</f>
        <v/>
      </c>
      <c r="AU48" s="35">
        <f>AU42+AU46+AU44</f>
        <v/>
      </c>
      <c r="AV48" s="35">
        <f>AV42+AV46+AV44</f>
        <v/>
      </c>
      <c r="AW48" s="35">
        <f>AW42+AW46+AW44</f>
        <v/>
      </c>
      <c r="AX48" s="35">
        <f>AX42+AX46+AX44</f>
        <v/>
      </c>
      <c r="AY48" s="35">
        <f>AY42+AY46+AY44</f>
        <v/>
      </c>
      <c r="AZ48" s="35">
        <f>AZ42+AZ46+AZ44</f>
        <v/>
      </c>
      <c r="BA48" s="35">
        <f>BA42+BA46+BA44</f>
        <v/>
      </c>
      <c r="BB48" s="35">
        <f>BB42+BB46+BB44</f>
        <v/>
      </c>
      <c r="BC48" s="35">
        <f>BC42+BC46+BC44</f>
        <v/>
      </c>
      <c r="BD48" s="35">
        <f>BD42+BD46+BD44</f>
        <v/>
      </c>
      <c r="BE48" s="35">
        <f>BE42+BE46+BE44</f>
        <v/>
      </c>
      <c r="BF48" s="35">
        <f>BF42+BF46+BF44</f>
        <v/>
      </c>
      <c r="BG48" s="35">
        <f>BG42+BG46+BG44</f>
        <v/>
      </c>
      <c r="BH48" s="35">
        <f>BH42+BH46+BH44</f>
        <v/>
      </c>
      <c r="BI48" s="35">
        <f>BI42+BI46+BI44</f>
        <v/>
      </c>
      <c r="BJ48" s="35">
        <f>BJ42+BJ46+BJ44</f>
        <v/>
      </c>
      <c r="BK48" s="35">
        <f>BK42+BK46+BK44</f>
        <v/>
      </c>
      <c r="BL48" s="35">
        <f>BL42+BL46+BL44</f>
        <v/>
      </c>
      <c r="BM48" s="35">
        <f>BM42+BM46+BM44</f>
        <v/>
      </c>
      <c r="BN48" s="35">
        <f>BN42+BN46+BN44</f>
        <v/>
      </c>
      <c r="BO48" s="35">
        <f>BO42+BO46+BO44</f>
        <v/>
      </c>
      <c r="BP48" s="35">
        <f>BP42+BP46+BP44</f>
        <v/>
      </c>
      <c r="BQ48" s="35">
        <f>BQ42+BQ46+BQ44</f>
        <v/>
      </c>
      <c r="BR48" s="35">
        <f>BR42+BR46+BR44</f>
        <v/>
      </c>
      <c r="BS48" s="35">
        <f>BS42+BS46+BS44</f>
        <v/>
      </c>
      <c r="BT48" s="35">
        <f>BT42+BT46+BT44</f>
        <v/>
      </c>
      <c r="BU48" s="35">
        <f>BU42+BU46+BU44</f>
        <v/>
      </c>
      <c r="BV48" s="35">
        <f>BV42+BV46+BV44</f>
        <v/>
      </c>
      <c r="BW48" s="35">
        <f>BW42+BW46+BW44</f>
        <v/>
      </c>
      <c r="BX48" s="35">
        <f>BX42+BX46+BX44</f>
        <v/>
      </c>
      <c r="BY48" s="35">
        <f>BY42+BY46+BY44</f>
        <v/>
      </c>
      <c r="BZ48" s="35">
        <f>BZ42+BZ46+BZ44</f>
        <v/>
      </c>
      <c r="CA48" s="35">
        <f>CA42+CA46+CA44</f>
        <v/>
      </c>
      <c r="CB48" s="35">
        <f>CB42+CB46+CB44</f>
        <v/>
      </c>
      <c r="CC48" s="35">
        <f>CC42+CC46+CC44</f>
        <v/>
      </c>
      <c r="CD48" s="35">
        <f>CD42+CD46+CD44</f>
        <v/>
      </c>
      <c r="CE48" s="35">
        <f>CE42+CE46+CE44</f>
        <v/>
      </c>
      <c r="CF48" s="35">
        <f>CF42+CF46+CF44</f>
        <v/>
      </c>
      <c r="CG48" s="35">
        <f>CG42+CG46+CG44</f>
        <v/>
      </c>
      <c r="CH48" s="35">
        <f>CH42+CH46+CH44</f>
        <v/>
      </c>
      <c r="CI48" s="35">
        <f>CI42+CI46+CI44</f>
        <v/>
      </c>
      <c r="CJ48" s="35">
        <f>CJ42+CJ46+CJ44</f>
        <v/>
      </c>
      <c r="CK48" s="35">
        <f>CK42+CK46+CK44</f>
        <v/>
      </c>
      <c r="CL48" s="35">
        <f>CL42+CL46+CL44</f>
        <v/>
      </c>
      <c r="CM48" s="35">
        <f>CM42+CM46+CM44</f>
        <v/>
      </c>
      <c r="CN48" s="35">
        <f>CN42+CN46+CN44</f>
        <v/>
      </c>
      <c r="CO48" s="35">
        <f>CO42+CO46+CO44</f>
        <v/>
      </c>
      <c r="CP48" s="35">
        <f>CP42+CP46+CP44</f>
        <v/>
      </c>
      <c r="CQ48" s="35">
        <f>CQ42+CQ46+CQ44</f>
        <v/>
      </c>
      <c r="CR48" s="35">
        <f>CR42+CR46+CR44</f>
        <v/>
      </c>
      <c r="CS48" s="35">
        <f>CS42+CS46+CS44</f>
        <v/>
      </c>
      <c r="CT48" s="35">
        <f>CT42+CT46+CT44</f>
        <v/>
      </c>
      <c r="CU48" s="35">
        <f>CU42+CU46+CU44</f>
        <v/>
      </c>
      <c r="CV48" s="35">
        <f>CV42+CV46+CV44</f>
        <v/>
      </c>
      <c r="CW48" s="35">
        <f>CW42+CW46+CW44</f>
        <v/>
      </c>
      <c r="CX48" s="35">
        <f>CX42+CX46+CX44</f>
        <v/>
      </c>
      <c r="CY48" s="35">
        <f>CY42+CY46+CY44</f>
        <v/>
      </c>
      <c r="CZ48" s="35">
        <f>CZ42+CZ46+CZ44</f>
        <v/>
      </c>
      <c r="DA48" s="35">
        <f>DA42+DA46+DA44</f>
        <v/>
      </c>
      <c r="DB48" s="35">
        <f>DB42+DB46+DB44</f>
        <v/>
      </c>
      <c r="DC48" s="35">
        <f>DC42+DC46+DC44</f>
        <v/>
      </c>
      <c r="DD48" s="35">
        <f>DD42+DD46+DD44</f>
        <v/>
      </c>
      <c r="DE48" s="35">
        <f>DE42+DE46+DE44</f>
        <v/>
      </c>
      <c r="DF48" s="35">
        <f>DF42+DF46+DF44</f>
        <v/>
      </c>
      <c r="DG48" s="35">
        <f>DG42+DG46+DG44</f>
        <v/>
      </c>
      <c r="DH48" s="35">
        <f>DH42+DH46+DH44</f>
        <v/>
      </c>
      <c r="DI48" s="35">
        <f>DI42+DI46+DI44</f>
        <v/>
      </c>
      <c r="DJ48" s="35">
        <f>DJ42+DJ46+DJ44</f>
        <v/>
      </c>
      <c r="DK48" s="35">
        <f>DK42+DK46+DK44</f>
        <v/>
      </c>
      <c r="DL48" s="35">
        <f>DL42+DL46+DL44</f>
        <v/>
      </c>
      <c r="DM48" s="35">
        <f>DM42+DM46+DM44</f>
        <v/>
      </c>
      <c r="DN48" s="35">
        <f>DN42+DN46+DN44</f>
        <v/>
      </c>
      <c r="DO48" s="35">
        <f>DO42+DO46+DO44</f>
        <v/>
      </c>
      <c r="DP48" s="35">
        <f>DP42+DP46+DP44</f>
        <v/>
      </c>
      <c r="DQ48" s="35">
        <f>DQ42+DQ46+DQ44</f>
        <v/>
      </c>
      <c r="DR48" s="35">
        <f>DR42+DR46+DR44</f>
        <v/>
      </c>
      <c r="DS48" s="35">
        <f>DS42+DS46+DS44</f>
        <v/>
      </c>
    </row>
    <row r="49">
      <c r="A49" s="2" t="inlineStr">
        <is>
          <t>SH_SOLDHD</t>
        </is>
      </c>
      <c r="B49" s="6" t="inlineStr">
        <is>
          <t>Animals sold</t>
        </is>
      </c>
      <c r="C49" s="2" t="inlineStr">
        <is>
          <t>head</t>
        </is>
      </c>
      <c r="D49" s="22">
        <f>D43+D37</f>
        <v/>
      </c>
      <c r="E49" s="22">
        <f>E43+E37</f>
        <v/>
      </c>
      <c r="F49" s="22">
        <f>F43+F37</f>
        <v/>
      </c>
      <c r="G49" s="22">
        <f>G43+G37</f>
        <v/>
      </c>
      <c r="H49" s="22">
        <f>H43+H37</f>
        <v/>
      </c>
      <c r="I49" s="22">
        <f>I43+I37</f>
        <v/>
      </c>
      <c r="J49" s="22">
        <f>J43+J37</f>
        <v/>
      </c>
      <c r="K49" s="22">
        <f>K43+K37</f>
        <v/>
      </c>
      <c r="L49" s="22">
        <f>L43+L37</f>
        <v/>
      </c>
      <c r="M49" s="22">
        <f>M43+M37</f>
        <v/>
      </c>
      <c r="N49" s="22">
        <f>N43+N37</f>
        <v/>
      </c>
      <c r="O49" s="22">
        <f>O43+O37</f>
        <v/>
      </c>
      <c r="P49" s="22">
        <f>P43+P37</f>
        <v/>
      </c>
      <c r="Q49" s="22">
        <f>Q43+Q37</f>
        <v/>
      </c>
      <c r="R49" s="22">
        <f>R43+R37</f>
        <v/>
      </c>
      <c r="S49" s="22">
        <f>S43+S37</f>
        <v/>
      </c>
      <c r="T49" s="22">
        <f>T43+T37</f>
        <v/>
      </c>
      <c r="U49" s="22">
        <f>U43+U37</f>
        <v/>
      </c>
      <c r="V49" s="22">
        <f>V43+V37</f>
        <v/>
      </c>
      <c r="W49" s="22">
        <f>W43+W37</f>
        <v/>
      </c>
      <c r="X49" s="22">
        <f>X43+X37</f>
        <v/>
      </c>
      <c r="Y49" s="22">
        <f>Y43+Y37</f>
        <v/>
      </c>
      <c r="Z49" s="22">
        <f>Z43+Z37</f>
        <v/>
      </c>
      <c r="AA49" s="22">
        <f>AA43+AA37</f>
        <v/>
      </c>
      <c r="AB49" s="22">
        <f>AB43+AB37</f>
        <v/>
      </c>
      <c r="AC49" s="22">
        <f>AC43+AC37</f>
        <v/>
      </c>
      <c r="AD49" s="22">
        <f>AD43+AD37</f>
        <v/>
      </c>
      <c r="AE49" s="22">
        <f>AE43+AE37</f>
        <v/>
      </c>
      <c r="AF49" s="22">
        <f>AF43+AF37</f>
        <v/>
      </c>
      <c r="AG49" s="22">
        <f>AG43+AG37</f>
        <v/>
      </c>
      <c r="AH49" s="22">
        <f>AH43+AH37</f>
        <v/>
      </c>
      <c r="AI49" s="22">
        <f>AI43+AI37</f>
        <v/>
      </c>
      <c r="AJ49" s="22">
        <f>AJ43+AJ37</f>
        <v/>
      </c>
      <c r="AK49" s="22">
        <f>AK43+AK37</f>
        <v/>
      </c>
      <c r="AL49" s="22">
        <f>AL43+AL37</f>
        <v/>
      </c>
      <c r="AM49" s="22">
        <f>AM43+AM37</f>
        <v/>
      </c>
      <c r="AN49" s="22">
        <f>AN43+AN37</f>
        <v/>
      </c>
      <c r="AO49" s="22">
        <f>AO43+AO37</f>
        <v/>
      </c>
      <c r="AP49" s="22">
        <f>AP43+AP37</f>
        <v/>
      </c>
      <c r="AQ49" s="22">
        <f>AQ43+AQ37</f>
        <v/>
      </c>
      <c r="AR49" s="22">
        <f>AR43+AR37</f>
        <v/>
      </c>
      <c r="AS49" s="22">
        <f>AS43+AS37</f>
        <v/>
      </c>
      <c r="AT49" s="22">
        <f>AT43+AT37</f>
        <v/>
      </c>
      <c r="AU49" s="22">
        <f>AU43+AU37</f>
        <v/>
      </c>
      <c r="AV49" s="22">
        <f>AV43+AV37</f>
        <v/>
      </c>
      <c r="AW49" s="22">
        <f>AW43+AW37</f>
        <v/>
      </c>
      <c r="AX49" s="22">
        <f>AX43+AX37</f>
        <v/>
      </c>
      <c r="AY49" s="22">
        <f>AY43+AY37</f>
        <v/>
      </c>
      <c r="AZ49" s="22">
        <f>AZ43+AZ37</f>
        <v/>
      </c>
      <c r="BA49" s="22">
        <f>BA43+BA37</f>
        <v/>
      </c>
      <c r="BB49" s="22">
        <f>BB43+BB37</f>
        <v/>
      </c>
      <c r="BC49" s="22">
        <f>BC43+BC37</f>
        <v/>
      </c>
      <c r="BD49" s="22">
        <f>BD43+BD37</f>
        <v/>
      </c>
      <c r="BE49" s="22">
        <f>BE43+BE37</f>
        <v/>
      </c>
      <c r="BF49" s="22">
        <f>BF43+BF37</f>
        <v/>
      </c>
      <c r="BG49" s="22">
        <f>BG43+BG37</f>
        <v/>
      </c>
      <c r="BH49" s="22">
        <f>BH43+BH37</f>
        <v/>
      </c>
      <c r="BI49" s="22">
        <f>BI43+BI37</f>
        <v/>
      </c>
      <c r="BJ49" s="22">
        <f>BJ43+BJ37</f>
        <v/>
      </c>
      <c r="BK49" s="22">
        <f>BK43+BK37</f>
        <v/>
      </c>
      <c r="BL49" s="22">
        <f>BL43+BL37</f>
        <v/>
      </c>
      <c r="BM49" s="22">
        <f>BM43+BM37</f>
        <v/>
      </c>
      <c r="BN49" s="22">
        <f>BN43+BN37</f>
        <v/>
      </c>
      <c r="BO49" s="22">
        <f>BO43+BO37</f>
        <v/>
      </c>
      <c r="BP49" s="22">
        <f>BP43+BP37</f>
        <v/>
      </c>
      <c r="BQ49" s="22">
        <f>BQ43+BQ37</f>
        <v/>
      </c>
      <c r="BR49" s="22">
        <f>BR43+BR37</f>
        <v/>
      </c>
      <c r="BS49" s="22">
        <f>BS43+BS37</f>
        <v/>
      </c>
      <c r="BT49" s="22">
        <f>BT43+BT37</f>
        <v/>
      </c>
      <c r="BU49" s="22">
        <f>BU43+BU37</f>
        <v/>
      </c>
      <c r="BV49" s="22">
        <f>BV43+BV37</f>
        <v/>
      </c>
      <c r="BW49" s="22">
        <f>BW43+BW37</f>
        <v/>
      </c>
      <c r="BX49" s="22">
        <f>BX43+BX37</f>
        <v/>
      </c>
      <c r="BY49" s="22">
        <f>BY43+BY37</f>
        <v/>
      </c>
      <c r="BZ49" s="22">
        <f>BZ43+BZ37</f>
        <v/>
      </c>
      <c r="CA49" s="22">
        <f>CA43+CA37</f>
        <v/>
      </c>
      <c r="CB49" s="22">
        <f>CB43+CB37</f>
        <v/>
      </c>
      <c r="CC49" s="22">
        <f>CC43+CC37</f>
        <v/>
      </c>
      <c r="CD49" s="22">
        <f>CD43+CD37</f>
        <v/>
      </c>
      <c r="CE49" s="22">
        <f>CE43+CE37</f>
        <v/>
      </c>
      <c r="CF49" s="22">
        <f>CF43+CF37</f>
        <v/>
      </c>
      <c r="CG49" s="22">
        <f>CG43+CG37</f>
        <v/>
      </c>
      <c r="CH49" s="22">
        <f>CH43+CH37</f>
        <v/>
      </c>
      <c r="CI49" s="22">
        <f>CI43+CI37</f>
        <v/>
      </c>
      <c r="CJ49" s="22">
        <f>CJ43+CJ37</f>
        <v/>
      </c>
      <c r="CK49" s="22">
        <f>CK43+CK37</f>
        <v/>
      </c>
      <c r="CL49" s="22">
        <f>CL43+CL37</f>
        <v/>
      </c>
      <c r="CM49" s="22">
        <f>CM43+CM37</f>
        <v/>
      </c>
      <c r="CN49" s="22">
        <f>CN43+CN37</f>
        <v/>
      </c>
      <c r="CO49" s="22">
        <f>CO43+CO37</f>
        <v/>
      </c>
      <c r="CP49" s="22">
        <f>CP43+CP37</f>
        <v/>
      </c>
      <c r="CQ49" s="22">
        <f>CQ43+CQ37</f>
        <v/>
      </c>
      <c r="CR49" s="22">
        <f>CR43+CR37</f>
        <v/>
      </c>
      <c r="CS49" s="22">
        <f>CS43+CS37</f>
        <v/>
      </c>
      <c r="CT49" s="22">
        <f>CT43+CT37</f>
        <v/>
      </c>
      <c r="CU49" s="22">
        <f>CU43+CU37</f>
        <v/>
      </c>
      <c r="CV49" s="22">
        <f>CV43+CV37</f>
        <v/>
      </c>
      <c r="CW49" s="22">
        <f>CW43+CW37</f>
        <v/>
      </c>
      <c r="CX49" s="22">
        <f>CX43+CX37</f>
        <v/>
      </c>
      <c r="CY49" s="22">
        <f>CY43+CY37</f>
        <v/>
      </c>
      <c r="CZ49" s="22">
        <f>CZ43+CZ37</f>
        <v/>
      </c>
      <c r="DA49" s="22">
        <f>DA43+DA37</f>
        <v/>
      </c>
      <c r="DB49" s="22">
        <f>DB43+DB37</f>
        <v/>
      </c>
      <c r="DC49" s="22">
        <f>DC43+DC37</f>
        <v/>
      </c>
      <c r="DD49" s="22">
        <f>DD43+DD37</f>
        <v/>
      </c>
      <c r="DE49" s="22">
        <f>DE43+DE37</f>
        <v/>
      </c>
      <c r="DF49" s="22">
        <f>DF43+DF37</f>
        <v/>
      </c>
      <c r="DG49" s="22">
        <f>DG43+DG37</f>
        <v/>
      </c>
      <c r="DH49" s="22">
        <f>DH43+DH37</f>
        <v/>
      </c>
      <c r="DI49" s="22">
        <f>DI43+DI37</f>
        <v/>
      </c>
      <c r="DJ49" s="22">
        <f>DJ43+DJ37</f>
        <v/>
      </c>
      <c r="DK49" s="22">
        <f>DK43+DK37</f>
        <v/>
      </c>
      <c r="DL49" s="22">
        <f>DL43+DL37</f>
        <v/>
      </c>
      <c r="DM49" s="22">
        <f>DM43+DM37</f>
        <v/>
      </c>
      <c r="DN49" s="22">
        <f>DN43+DN37</f>
        <v/>
      </c>
      <c r="DO49" s="22">
        <f>DO43+DO37</f>
        <v/>
      </c>
      <c r="DP49" s="22">
        <f>DP43+DP37</f>
        <v/>
      </c>
      <c r="DQ49" s="22">
        <f>DQ43+DQ37</f>
        <v/>
      </c>
      <c r="DR49" s="22">
        <f>DR43+DR37</f>
        <v/>
      </c>
      <c r="DS49" s="22">
        <f>DS43+DS37</f>
        <v/>
      </c>
    </row>
    <row r="50">
      <c r="A50" s="2" t="inlineStr">
        <is>
          <t>SH_REV_Y</t>
        </is>
      </c>
      <c r="B50" s="6" t="inlineStr">
        <is>
          <t>Sales: young stock</t>
        </is>
      </c>
      <c r="C50" s="2" t="inlineStr">
        <is>
          <t>RWF</t>
        </is>
      </c>
      <c r="D50" s="25">
        <f>D43*Assumptions!$H$83*Assumptions!$H$91*Sensitivity!$C$6*(1+Models!$H$37*Assumptions!$H$103)</f>
        <v/>
      </c>
      <c r="E50" s="25">
        <f>E43*Assumptions!$H$83*Assumptions!$H$91*Sensitivity!$C$6*(1+Models!$H$37*Assumptions!$H$103)</f>
        <v/>
      </c>
      <c r="F50" s="25">
        <f>F43*Assumptions!$H$83*Assumptions!$H$91*Sensitivity!$C$6*(1+Models!$H$37*Assumptions!$H$103)</f>
        <v/>
      </c>
      <c r="G50" s="25">
        <f>G43*Assumptions!$H$83*Assumptions!$H$91*Sensitivity!$C$6*(1+Models!$H$37*Assumptions!$H$103)</f>
        <v/>
      </c>
      <c r="H50" s="25">
        <f>H43*Assumptions!$H$83*Assumptions!$H$91*Sensitivity!$C$6*(1+Models!$H$37*Assumptions!$H$103)</f>
        <v/>
      </c>
      <c r="I50" s="25">
        <f>I43*Assumptions!$H$83*Assumptions!$H$91*Sensitivity!$C$6*(1+Models!$H$37*Assumptions!$H$103)</f>
        <v/>
      </c>
      <c r="J50" s="25">
        <f>J43*Assumptions!$H$83*Assumptions!$H$91*Sensitivity!$C$6*(1+Models!$H$37*Assumptions!$H$103)</f>
        <v/>
      </c>
      <c r="K50" s="25">
        <f>K43*Assumptions!$H$83*Assumptions!$H$91*Sensitivity!$C$6*(1+Models!$H$37*Assumptions!$H$103)</f>
        <v/>
      </c>
      <c r="L50" s="25">
        <f>L43*Assumptions!$H$83*Assumptions!$H$91*Sensitivity!$C$6*(1+Models!$H$37*Assumptions!$H$103)</f>
        <v/>
      </c>
      <c r="M50" s="25">
        <f>M43*Assumptions!$H$83*Assumptions!$H$91*Sensitivity!$C$6*(1+Models!$H$37*Assumptions!$H$103)</f>
        <v/>
      </c>
      <c r="N50" s="25">
        <f>N43*Assumptions!$H$83*Assumptions!$H$91*Sensitivity!$C$6*(1+Models!$H$37*Assumptions!$H$103)</f>
        <v/>
      </c>
      <c r="O50" s="25">
        <f>O43*Assumptions!$H$83*Assumptions!$H$91*Sensitivity!$C$6*(1+Models!$H$37*Assumptions!$H$103)</f>
        <v/>
      </c>
      <c r="P50" s="25">
        <f>P43*Assumptions!$H$83*Assumptions!$H$91*Sensitivity!$C$6*(1+Models!$H$37*Assumptions!$H$103)</f>
        <v/>
      </c>
      <c r="Q50" s="25">
        <f>Q43*Assumptions!$H$83*Assumptions!$H$91*Sensitivity!$C$6*(1+Models!$H$37*Assumptions!$H$103)</f>
        <v/>
      </c>
      <c r="R50" s="25">
        <f>R43*Assumptions!$H$83*Assumptions!$H$91*Sensitivity!$C$6*(1+Models!$H$37*Assumptions!$H$103)</f>
        <v/>
      </c>
      <c r="S50" s="25">
        <f>S43*Assumptions!$H$83*Assumptions!$H$91*Sensitivity!$C$6*(1+Models!$H$37*Assumptions!$H$103)</f>
        <v/>
      </c>
      <c r="T50" s="25">
        <f>T43*Assumptions!$H$83*Assumptions!$H$91*Sensitivity!$C$6*(1+Models!$H$37*Assumptions!$H$103)</f>
        <v/>
      </c>
      <c r="U50" s="25">
        <f>U43*Assumptions!$H$83*Assumptions!$H$91*Sensitivity!$C$6*(1+Models!$H$37*Assumptions!$H$103)</f>
        <v/>
      </c>
      <c r="V50" s="25">
        <f>V43*Assumptions!$H$83*Assumptions!$H$91*Sensitivity!$C$6*(1+Models!$H$37*Assumptions!$H$103)</f>
        <v/>
      </c>
      <c r="W50" s="25">
        <f>W43*Assumptions!$H$83*Assumptions!$H$91*Sensitivity!$C$6*(1+Models!$H$37*Assumptions!$H$103)</f>
        <v/>
      </c>
      <c r="X50" s="25">
        <f>X43*Assumptions!$H$83*Assumptions!$H$91*Sensitivity!$C$6*(1+Models!$H$37*Assumptions!$H$103)</f>
        <v/>
      </c>
      <c r="Y50" s="25">
        <f>Y43*Assumptions!$H$83*Assumptions!$H$91*Sensitivity!$C$6*(1+Models!$H$37*Assumptions!$H$103)</f>
        <v/>
      </c>
      <c r="Z50" s="25">
        <f>Z43*Assumptions!$H$83*Assumptions!$H$91*Sensitivity!$C$6*(1+Models!$H$37*Assumptions!$H$103)</f>
        <v/>
      </c>
      <c r="AA50" s="25">
        <f>AA43*Assumptions!$H$83*Assumptions!$H$91*Sensitivity!$C$6*(1+Models!$H$37*Assumptions!$H$103)</f>
        <v/>
      </c>
      <c r="AB50" s="25">
        <f>AB43*Assumptions!$H$83*Assumptions!$H$91*Sensitivity!$C$6*(1+Models!$H$37*Assumptions!$H$103)</f>
        <v/>
      </c>
      <c r="AC50" s="25">
        <f>AC43*Assumptions!$H$83*Assumptions!$H$91*Sensitivity!$C$6*(1+Models!$H$37*Assumptions!$H$103)</f>
        <v/>
      </c>
      <c r="AD50" s="25">
        <f>AD43*Assumptions!$H$83*Assumptions!$H$91*Sensitivity!$C$6*(1+Models!$H$37*Assumptions!$H$103)</f>
        <v/>
      </c>
      <c r="AE50" s="25">
        <f>AE43*Assumptions!$H$83*Assumptions!$H$91*Sensitivity!$C$6*(1+Models!$H$37*Assumptions!$H$103)</f>
        <v/>
      </c>
      <c r="AF50" s="25">
        <f>AF43*Assumptions!$H$83*Assumptions!$H$91*Sensitivity!$C$6*(1+Models!$H$37*Assumptions!$H$103)</f>
        <v/>
      </c>
      <c r="AG50" s="25">
        <f>AG43*Assumptions!$H$83*Assumptions!$H$91*Sensitivity!$C$6*(1+Models!$H$37*Assumptions!$H$103)</f>
        <v/>
      </c>
      <c r="AH50" s="25">
        <f>AH43*Assumptions!$H$83*Assumptions!$H$91*Sensitivity!$C$6*(1+Models!$H$37*Assumptions!$H$103)</f>
        <v/>
      </c>
      <c r="AI50" s="25">
        <f>AI43*Assumptions!$H$83*Assumptions!$H$91*Sensitivity!$C$6*(1+Models!$H$37*Assumptions!$H$103)</f>
        <v/>
      </c>
      <c r="AJ50" s="25">
        <f>AJ43*Assumptions!$H$83*Assumptions!$H$91*Sensitivity!$C$6*(1+Models!$H$37*Assumptions!$H$103)</f>
        <v/>
      </c>
      <c r="AK50" s="25">
        <f>AK43*Assumptions!$H$83*Assumptions!$H$91*Sensitivity!$C$6*(1+Models!$H$37*Assumptions!$H$103)</f>
        <v/>
      </c>
      <c r="AL50" s="25">
        <f>AL43*Assumptions!$H$83*Assumptions!$H$91*Sensitivity!$C$6*(1+Models!$H$37*Assumptions!$H$103)</f>
        <v/>
      </c>
      <c r="AM50" s="25">
        <f>AM43*Assumptions!$H$83*Assumptions!$H$91*Sensitivity!$C$6*(1+Models!$H$37*Assumptions!$H$103)</f>
        <v/>
      </c>
      <c r="AN50" s="25">
        <f>AN43*Assumptions!$H$83*Assumptions!$H$91*Sensitivity!$C$6*(1+Models!$H$37*Assumptions!$H$103)</f>
        <v/>
      </c>
      <c r="AO50" s="25">
        <f>AO43*Assumptions!$H$83*Assumptions!$H$91*Sensitivity!$C$6*(1+Models!$H$37*Assumptions!$H$103)</f>
        <v/>
      </c>
      <c r="AP50" s="25">
        <f>AP43*Assumptions!$H$83*Assumptions!$H$91*Sensitivity!$C$6*(1+Models!$H$37*Assumptions!$H$103)</f>
        <v/>
      </c>
      <c r="AQ50" s="25">
        <f>AQ43*Assumptions!$H$83*Assumptions!$H$91*Sensitivity!$C$6*(1+Models!$H$37*Assumptions!$H$103)</f>
        <v/>
      </c>
      <c r="AR50" s="25">
        <f>AR43*Assumptions!$H$83*Assumptions!$H$91*Sensitivity!$C$6*(1+Models!$H$37*Assumptions!$H$103)</f>
        <v/>
      </c>
      <c r="AS50" s="25">
        <f>AS43*Assumptions!$H$83*Assumptions!$H$91*Sensitivity!$C$6*(1+Models!$H$37*Assumptions!$H$103)</f>
        <v/>
      </c>
      <c r="AT50" s="25">
        <f>AT43*Assumptions!$H$83*Assumptions!$H$91*Sensitivity!$C$6*(1+Models!$H$37*Assumptions!$H$103)</f>
        <v/>
      </c>
      <c r="AU50" s="25">
        <f>AU43*Assumptions!$H$83*Assumptions!$H$91*Sensitivity!$C$6*(1+Models!$H$37*Assumptions!$H$103)</f>
        <v/>
      </c>
      <c r="AV50" s="25">
        <f>AV43*Assumptions!$H$83*Assumptions!$H$91*Sensitivity!$C$6*(1+Models!$H$37*Assumptions!$H$103)</f>
        <v/>
      </c>
      <c r="AW50" s="25">
        <f>AW43*Assumptions!$H$83*Assumptions!$H$91*Sensitivity!$C$6*(1+Models!$H$37*Assumptions!$H$103)</f>
        <v/>
      </c>
      <c r="AX50" s="25">
        <f>AX43*Assumptions!$H$83*Assumptions!$H$91*Sensitivity!$C$6*(1+Models!$H$37*Assumptions!$H$103)</f>
        <v/>
      </c>
      <c r="AY50" s="25">
        <f>AY43*Assumptions!$H$83*Assumptions!$H$91*Sensitivity!$C$6*(1+Models!$H$37*Assumptions!$H$103)</f>
        <v/>
      </c>
      <c r="AZ50" s="25">
        <f>AZ43*Assumptions!$H$83*Assumptions!$H$91*Sensitivity!$C$6*(1+Models!$H$37*Assumptions!$H$103)</f>
        <v/>
      </c>
      <c r="BA50" s="25">
        <f>BA43*Assumptions!$H$83*Assumptions!$H$91*Sensitivity!$C$6*(1+Models!$H$37*Assumptions!$H$103)</f>
        <v/>
      </c>
      <c r="BB50" s="25">
        <f>BB43*Assumptions!$H$83*Assumptions!$H$91*Sensitivity!$C$6*(1+Models!$H$37*Assumptions!$H$103)</f>
        <v/>
      </c>
      <c r="BC50" s="25">
        <f>BC43*Assumptions!$H$83*Assumptions!$H$91*Sensitivity!$C$6*(1+Models!$H$37*Assumptions!$H$103)</f>
        <v/>
      </c>
      <c r="BD50" s="25">
        <f>BD43*Assumptions!$H$83*Assumptions!$H$91*Sensitivity!$C$6*(1+Models!$H$37*Assumptions!$H$103)</f>
        <v/>
      </c>
      <c r="BE50" s="25">
        <f>BE43*Assumptions!$H$83*Assumptions!$H$91*Sensitivity!$C$6*(1+Models!$H$37*Assumptions!$H$103)</f>
        <v/>
      </c>
      <c r="BF50" s="25">
        <f>BF43*Assumptions!$H$83*Assumptions!$H$91*Sensitivity!$C$6*(1+Models!$H$37*Assumptions!$H$103)</f>
        <v/>
      </c>
      <c r="BG50" s="25">
        <f>BG43*Assumptions!$H$83*Assumptions!$H$91*Sensitivity!$C$6*(1+Models!$H$37*Assumptions!$H$103)</f>
        <v/>
      </c>
      <c r="BH50" s="25">
        <f>BH43*Assumptions!$H$83*Assumptions!$H$91*Sensitivity!$C$6*(1+Models!$H$37*Assumptions!$H$103)</f>
        <v/>
      </c>
      <c r="BI50" s="25">
        <f>BI43*Assumptions!$H$83*Assumptions!$H$91*Sensitivity!$C$6*(1+Models!$H$37*Assumptions!$H$103)</f>
        <v/>
      </c>
      <c r="BJ50" s="25">
        <f>BJ43*Assumptions!$H$83*Assumptions!$H$91*Sensitivity!$C$6*(1+Models!$H$37*Assumptions!$H$103)</f>
        <v/>
      </c>
      <c r="BK50" s="25">
        <f>BK43*Assumptions!$H$83*Assumptions!$H$91*Sensitivity!$C$6*(1+Models!$H$37*Assumptions!$H$103)</f>
        <v/>
      </c>
      <c r="BL50" s="25">
        <f>BL43*Assumptions!$H$83*Assumptions!$H$91*Sensitivity!$C$6*(1+Models!$H$37*Assumptions!$H$103)</f>
        <v/>
      </c>
      <c r="BM50" s="25">
        <f>BM43*Assumptions!$H$83*Assumptions!$H$91*Sensitivity!$C$6*(1+Models!$H$37*Assumptions!$H$103)</f>
        <v/>
      </c>
      <c r="BN50" s="25">
        <f>BN43*Assumptions!$H$83*Assumptions!$H$91*Sensitivity!$C$6*(1+Models!$H$37*Assumptions!$H$103)</f>
        <v/>
      </c>
      <c r="BO50" s="25">
        <f>BO43*Assumptions!$H$83*Assumptions!$H$91*Sensitivity!$C$6*(1+Models!$H$37*Assumptions!$H$103)</f>
        <v/>
      </c>
      <c r="BP50" s="25">
        <f>BP43*Assumptions!$H$83*Assumptions!$H$91*Sensitivity!$C$6*(1+Models!$H$37*Assumptions!$H$103)</f>
        <v/>
      </c>
      <c r="BQ50" s="25">
        <f>BQ43*Assumptions!$H$83*Assumptions!$H$91*Sensitivity!$C$6*(1+Models!$H$37*Assumptions!$H$103)</f>
        <v/>
      </c>
      <c r="BR50" s="25">
        <f>BR43*Assumptions!$H$83*Assumptions!$H$91*Sensitivity!$C$6*(1+Models!$H$37*Assumptions!$H$103)</f>
        <v/>
      </c>
      <c r="BS50" s="25">
        <f>BS43*Assumptions!$H$83*Assumptions!$H$91*Sensitivity!$C$6*(1+Models!$H$37*Assumptions!$H$103)</f>
        <v/>
      </c>
      <c r="BT50" s="25">
        <f>BT43*Assumptions!$H$83*Assumptions!$H$91*Sensitivity!$C$6*(1+Models!$H$37*Assumptions!$H$103)</f>
        <v/>
      </c>
      <c r="BU50" s="25">
        <f>BU43*Assumptions!$H$83*Assumptions!$H$91*Sensitivity!$C$6*(1+Models!$H$37*Assumptions!$H$103)</f>
        <v/>
      </c>
      <c r="BV50" s="25">
        <f>BV43*Assumptions!$H$83*Assumptions!$H$91*Sensitivity!$C$6*(1+Models!$H$37*Assumptions!$H$103)</f>
        <v/>
      </c>
      <c r="BW50" s="25">
        <f>BW43*Assumptions!$H$83*Assumptions!$H$91*Sensitivity!$C$6*(1+Models!$H$37*Assumptions!$H$103)</f>
        <v/>
      </c>
      <c r="BX50" s="25">
        <f>BX43*Assumptions!$H$83*Assumptions!$H$91*Sensitivity!$C$6*(1+Models!$H$37*Assumptions!$H$103)</f>
        <v/>
      </c>
      <c r="BY50" s="25">
        <f>BY43*Assumptions!$H$83*Assumptions!$H$91*Sensitivity!$C$6*(1+Models!$H$37*Assumptions!$H$103)</f>
        <v/>
      </c>
      <c r="BZ50" s="25">
        <f>BZ43*Assumptions!$H$83*Assumptions!$H$91*Sensitivity!$C$6*(1+Models!$H$37*Assumptions!$H$103)</f>
        <v/>
      </c>
      <c r="CA50" s="25">
        <f>CA43*Assumptions!$H$83*Assumptions!$H$91*Sensitivity!$C$6*(1+Models!$H$37*Assumptions!$H$103)</f>
        <v/>
      </c>
      <c r="CB50" s="25">
        <f>CB43*Assumptions!$H$83*Assumptions!$H$91*Sensitivity!$C$6*(1+Models!$H$37*Assumptions!$H$103)</f>
        <v/>
      </c>
      <c r="CC50" s="25">
        <f>CC43*Assumptions!$H$83*Assumptions!$H$91*Sensitivity!$C$6*(1+Models!$H$37*Assumptions!$H$103)</f>
        <v/>
      </c>
      <c r="CD50" s="25">
        <f>CD43*Assumptions!$H$83*Assumptions!$H$91*Sensitivity!$C$6*(1+Models!$H$37*Assumptions!$H$103)</f>
        <v/>
      </c>
      <c r="CE50" s="25">
        <f>CE43*Assumptions!$H$83*Assumptions!$H$91*Sensitivity!$C$6*(1+Models!$H$37*Assumptions!$H$103)</f>
        <v/>
      </c>
      <c r="CF50" s="25">
        <f>CF43*Assumptions!$H$83*Assumptions!$H$91*Sensitivity!$C$6*(1+Models!$H$37*Assumptions!$H$103)</f>
        <v/>
      </c>
      <c r="CG50" s="25">
        <f>CG43*Assumptions!$H$83*Assumptions!$H$91*Sensitivity!$C$6*(1+Models!$H$37*Assumptions!$H$103)</f>
        <v/>
      </c>
      <c r="CH50" s="25">
        <f>CH43*Assumptions!$H$83*Assumptions!$H$91*Sensitivity!$C$6*(1+Models!$H$37*Assumptions!$H$103)</f>
        <v/>
      </c>
      <c r="CI50" s="25">
        <f>CI43*Assumptions!$H$83*Assumptions!$H$91*Sensitivity!$C$6*(1+Models!$H$37*Assumptions!$H$103)</f>
        <v/>
      </c>
      <c r="CJ50" s="25">
        <f>CJ43*Assumptions!$H$83*Assumptions!$H$91*Sensitivity!$C$6*(1+Models!$H$37*Assumptions!$H$103)</f>
        <v/>
      </c>
      <c r="CK50" s="25">
        <f>CK43*Assumptions!$H$83*Assumptions!$H$91*Sensitivity!$C$6*(1+Models!$H$37*Assumptions!$H$103)</f>
        <v/>
      </c>
      <c r="CL50" s="25">
        <f>CL43*Assumptions!$H$83*Assumptions!$H$91*Sensitivity!$C$6*(1+Models!$H$37*Assumptions!$H$103)</f>
        <v/>
      </c>
      <c r="CM50" s="25">
        <f>CM43*Assumptions!$H$83*Assumptions!$H$91*Sensitivity!$C$6*(1+Models!$H$37*Assumptions!$H$103)</f>
        <v/>
      </c>
      <c r="CN50" s="25">
        <f>CN43*Assumptions!$H$83*Assumptions!$H$91*Sensitivity!$C$6*(1+Models!$H$37*Assumptions!$H$103)</f>
        <v/>
      </c>
      <c r="CO50" s="25">
        <f>CO43*Assumptions!$H$83*Assumptions!$H$91*Sensitivity!$C$6*(1+Models!$H$37*Assumptions!$H$103)</f>
        <v/>
      </c>
      <c r="CP50" s="25">
        <f>CP43*Assumptions!$H$83*Assumptions!$H$91*Sensitivity!$C$6*(1+Models!$H$37*Assumptions!$H$103)</f>
        <v/>
      </c>
      <c r="CQ50" s="25">
        <f>CQ43*Assumptions!$H$83*Assumptions!$H$91*Sensitivity!$C$6*(1+Models!$H$37*Assumptions!$H$103)</f>
        <v/>
      </c>
      <c r="CR50" s="25">
        <f>CR43*Assumptions!$H$83*Assumptions!$H$91*Sensitivity!$C$6*(1+Models!$H$37*Assumptions!$H$103)</f>
        <v/>
      </c>
      <c r="CS50" s="25">
        <f>CS43*Assumptions!$H$83*Assumptions!$H$91*Sensitivity!$C$6*(1+Models!$H$37*Assumptions!$H$103)</f>
        <v/>
      </c>
      <c r="CT50" s="25">
        <f>CT43*Assumptions!$H$83*Assumptions!$H$91*Sensitivity!$C$6*(1+Models!$H$37*Assumptions!$H$103)</f>
        <v/>
      </c>
      <c r="CU50" s="25">
        <f>CU43*Assumptions!$H$83*Assumptions!$H$91*Sensitivity!$C$6*(1+Models!$H$37*Assumptions!$H$103)</f>
        <v/>
      </c>
      <c r="CV50" s="25">
        <f>CV43*Assumptions!$H$83*Assumptions!$H$91*Sensitivity!$C$6*(1+Models!$H$37*Assumptions!$H$103)</f>
        <v/>
      </c>
      <c r="CW50" s="25">
        <f>CW43*Assumptions!$H$83*Assumptions!$H$91*Sensitivity!$C$6*(1+Models!$H$37*Assumptions!$H$103)</f>
        <v/>
      </c>
      <c r="CX50" s="25">
        <f>CX43*Assumptions!$H$83*Assumptions!$H$91*Sensitivity!$C$6*(1+Models!$H$37*Assumptions!$H$103)</f>
        <v/>
      </c>
      <c r="CY50" s="25">
        <f>CY43*Assumptions!$H$83*Assumptions!$H$91*Sensitivity!$C$6*(1+Models!$H$37*Assumptions!$H$103)</f>
        <v/>
      </c>
      <c r="CZ50" s="25">
        <f>CZ43*Assumptions!$H$83*Assumptions!$H$91*Sensitivity!$C$6*(1+Models!$H$37*Assumptions!$H$103)</f>
        <v/>
      </c>
      <c r="DA50" s="25">
        <f>DA43*Assumptions!$H$83*Assumptions!$H$91*Sensitivity!$C$6*(1+Models!$H$37*Assumptions!$H$103)</f>
        <v/>
      </c>
      <c r="DB50" s="25">
        <f>DB43*Assumptions!$H$83*Assumptions!$H$91*Sensitivity!$C$6*(1+Models!$H$37*Assumptions!$H$103)</f>
        <v/>
      </c>
      <c r="DC50" s="25">
        <f>DC43*Assumptions!$H$83*Assumptions!$H$91*Sensitivity!$C$6*(1+Models!$H$37*Assumptions!$H$103)</f>
        <v/>
      </c>
      <c r="DD50" s="25">
        <f>DD43*Assumptions!$H$83*Assumptions!$H$91*Sensitivity!$C$6*(1+Models!$H$37*Assumptions!$H$103)</f>
        <v/>
      </c>
      <c r="DE50" s="25">
        <f>DE43*Assumptions!$H$83*Assumptions!$H$91*Sensitivity!$C$6*(1+Models!$H$37*Assumptions!$H$103)</f>
        <v/>
      </c>
      <c r="DF50" s="25">
        <f>DF43*Assumptions!$H$83*Assumptions!$H$91*Sensitivity!$C$6*(1+Models!$H$37*Assumptions!$H$103)</f>
        <v/>
      </c>
      <c r="DG50" s="25">
        <f>DG43*Assumptions!$H$83*Assumptions!$H$91*Sensitivity!$C$6*(1+Models!$H$37*Assumptions!$H$103)</f>
        <v/>
      </c>
      <c r="DH50" s="25">
        <f>DH43*Assumptions!$H$83*Assumptions!$H$91*Sensitivity!$C$6*(1+Models!$H$37*Assumptions!$H$103)</f>
        <v/>
      </c>
      <c r="DI50" s="25">
        <f>DI43*Assumptions!$H$83*Assumptions!$H$91*Sensitivity!$C$6*(1+Models!$H$37*Assumptions!$H$103)</f>
        <v/>
      </c>
      <c r="DJ50" s="25">
        <f>DJ43*Assumptions!$H$83*Assumptions!$H$91*Sensitivity!$C$6*(1+Models!$H$37*Assumptions!$H$103)</f>
        <v/>
      </c>
      <c r="DK50" s="25">
        <f>DK43*Assumptions!$H$83*Assumptions!$H$91*Sensitivity!$C$6*(1+Models!$H$37*Assumptions!$H$103)</f>
        <v/>
      </c>
      <c r="DL50" s="25">
        <f>DL43*Assumptions!$H$83*Assumptions!$H$91*Sensitivity!$C$6*(1+Models!$H$37*Assumptions!$H$103)</f>
        <v/>
      </c>
      <c r="DM50" s="25">
        <f>DM43*Assumptions!$H$83*Assumptions!$H$91*Sensitivity!$C$6*(1+Models!$H$37*Assumptions!$H$103)</f>
        <v/>
      </c>
      <c r="DN50" s="25">
        <f>DN43*Assumptions!$H$83*Assumptions!$H$91*Sensitivity!$C$6*(1+Models!$H$37*Assumptions!$H$103)</f>
        <v/>
      </c>
      <c r="DO50" s="25">
        <f>DO43*Assumptions!$H$83*Assumptions!$H$91*Sensitivity!$C$6*(1+Models!$H$37*Assumptions!$H$103)</f>
        <v/>
      </c>
      <c r="DP50" s="25">
        <f>DP43*Assumptions!$H$83*Assumptions!$H$91*Sensitivity!$C$6*(1+Models!$H$37*Assumptions!$H$103)</f>
        <v/>
      </c>
      <c r="DQ50" s="25">
        <f>DQ43*Assumptions!$H$83*Assumptions!$H$91*Sensitivity!$C$6*(1+Models!$H$37*Assumptions!$H$103)</f>
        <v/>
      </c>
      <c r="DR50" s="25">
        <f>DR43*Assumptions!$H$83*Assumptions!$H$91*Sensitivity!$C$6*(1+Models!$H$37*Assumptions!$H$103)</f>
        <v/>
      </c>
      <c r="DS50" s="25">
        <f>DS43*Assumptions!$H$83*Assumptions!$H$91*Sensitivity!$C$6*(1+Models!$H$37*Assumptions!$H$103)</f>
        <v/>
      </c>
    </row>
    <row r="51">
      <c r="A51" s="2" t="inlineStr">
        <is>
          <t>SH_REV_C</t>
        </is>
      </c>
      <c r="B51" s="6" t="inlineStr">
        <is>
          <t>Sales: culled adults</t>
        </is>
      </c>
      <c r="C51" s="2" t="inlineStr">
        <is>
          <t>RWF</t>
        </is>
      </c>
      <c r="D51" s="25">
        <f>D37*Assumptions!$H$87*Assumptions!$H$91*Sensitivity!$C$6</f>
        <v/>
      </c>
      <c r="E51" s="25">
        <f>E37*Assumptions!$H$87*Assumptions!$H$91*Sensitivity!$C$6</f>
        <v/>
      </c>
      <c r="F51" s="25">
        <f>F37*Assumptions!$H$87*Assumptions!$H$91*Sensitivity!$C$6</f>
        <v/>
      </c>
      <c r="G51" s="25">
        <f>G37*Assumptions!$H$87*Assumptions!$H$91*Sensitivity!$C$6</f>
        <v/>
      </c>
      <c r="H51" s="25">
        <f>H37*Assumptions!$H$87*Assumptions!$H$91*Sensitivity!$C$6</f>
        <v/>
      </c>
      <c r="I51" s="25">
        <f>I37*Assumptions!$H$87*Assumptions!$H$91*Sensitivity!$C$6</f>
        <v/>
      </c>
      <c r="J51" s="25">
        <f>J37*Assumptions!$H$87*Assumptions!$H$91*Sensitivity!$C$6</f>
        <v/>
      </c>
      <c r="K51" s="25">
        <f>K37*Assumptions!$H$87*Assumptions!$H$91*Sensitivity!$C$6</f>
        <v/>
      </c>
      <c r="L51" s="25">
        <f>L37*Assumptions!$H$87*Assumptions!$H$91*Sensitivity!$C$6</f>
        <v/>
      </c>
      <c r="M51" s="25">
        <f>M37*Assumptions!$H$87*Assumptions!$H$91*Sensitivity!$C$6</f>
        <v/>
      </c>
      <c r="N51" s="25">
        <f>N37*Assumptions!$H$87*Assumptions!$H$91*Sensitivity!$C$6</f>
        <v/>
      </c>
      <c r="O51" s="25">
        <f>O37*Assumptions!$H$87*Assumptions!$H$91*Sensitivity!$C$6</f>
        <v/>
      </c>
      <c r="P51" s="25">
        <f>P37*Assumptions!$H$87*Assumptions!$H$91*Sensitivity!$C$6</f>
        <v/>
      </c>
      <c r="Q51" s="25">
        <f>Q37*Assumptions!$H$87*Assumptions!$H$91*Sensitivity!$C$6</f>
        <v/>
      </c>
      <c r="R51" s="25">
        <f>R37*Assumptions!$H$87*Assumptions!$H$91*Sensitivity!$C$6</f>
        <v/>
      </c>
      <c r="S51" s="25">
        <f>S37*Assumptions!$H$87*Assumptions!$H$91*Sensitivity!$C$6</f>
        <v/>
      </c>
      <c r="T51" s="25">
        <f>T37*Assumptions!$H$87*Assumptions!$H$91*Sensitivity!$C$6</f>
        <v/>
      </c>
      <c r="U51" s="25">
        <f>U37*Assumptions!$H$87*Assumptions!$H$91*Sensitivity!$C$6</f>
        <v/>
      </c>
      <c r="V51" s="25">
        <f>V37*Assumptions!$H$87*Assumptions!$H$91*Sensitivity!$C$6</f>
        <v/>
      </c>
      <c r="W51" s="25">
        <f>W37*Assumptions!$H$87*Assumptions!$H$91*Sensitivity!$C$6</f>
        <v/>
      </c>
      <c r="X51" s="25">
        <f>X37*Assumptions!$H$87*Assumptions!$H$91*Sensitivity!$C$6</f>
        <v/>
      </c>
      <c r="Y51" s="25">
        <f>Y37*Assumptions!$H$87*Assumptions!$H$91*Sensitivity!$C$6</f>
        <v/>
      </c>
      <c r="Z51" s="25">
        <f>Z37*Assumptions!$H$87*Assumptions!$H$91*Sensitivity!$C$6</f>
        <v/>
      </c>
      <c r="AA51" s="25">
        <f>AA37*Assumptions!$H$87*Assumptions!$H$91*Sensitivity!$C$6</f>
        <v/>
      </c>
      <c r="AB51" s="25">
        <f>AB37*Assumptions!$H$87*Assumptions!$H$91*Sensitivity!$C$6</f>
        <v/>
      </c>
      <c r="AC51" s="25">
        <f>AC37*Assumptions!$H$87*Assumptions!$H$91*Sensitivity!$C$6</f>
        <v/>
      </c>
      <c r="AD51" s="25">
        <f>AD37*Assumptions!$H$87*Assumptions!$H$91*Sensitivity!$C$6</f>
        <v/>
      </c>
      <c r="AE51" s="25">
        <f>AE37*Assumptions!$H$87*Assumptions!$H$91*Sensitivity!$C$6</f>
        <v/>
      </c>
      <c r="AF51" s="25">
        <f>AF37*Assumptions!$H$87*Assumptions!$H$91*Sensitivity!$C$6</f>
        <v/>
      </c>
      <c r="AG51" s="25">
        <f>AG37*Assumptions!$H$87*Assumptions!$H$91*Sensitivity!$C$6</f>
        <v/>
      </c>
      <c r="AH51" s="25">
        <f>AH37*Assumptions!$H$87*Assumptions!$H$91*Sensitivity!$C$6</f>
        <v/>
      </c>
      <c r="AI51" s="25">
        <f>AI37*Assumptions!$H$87*Assumptions!$H$91*Sensitivity!$C$6</f>
        <v/>
      </c>
      <c r="AJ51" s="25">
        <f>AJ37*Assumptions!$H$87*Assumptions!$H$91*Sensitivity!$C$6</f>
        <v/>
      </c>
      <c r="AK51" s="25">
        <f>AK37*Assumptions!$H$87*Assumptions!$H$91*Sensitivity!$C$6</f>
        <v/>
      </c>
      <c r="AL51" s="25">
        <f>AL37*Assumptions!$H$87*Assumptions!$H$91*Sensitivity!$C$6</f>
        <v/>
      </c>
      <c r="AM51" s="25">
        <f>AM37*Assumptions!$H$87*Assumptions!$H$91*Sensitivity!$C$6</f>
        <v/>
      </c>
      <c r="AN51" s="25">
        <f>AN37*Assumptions!$H$87*Assumptions!$H$91*Sensitivity!$C$6</f>
        <v/>
      </c>
      <c r="AO51" s="25">
        <f>AO37*Assumptions!$H$87*Assumptions!$H$91*Sensitivity!$C$6</f>
        <v/>
      </c>
      <c r="AP51" s="25">
        <f>AP37*Assumptions!$H$87*Assumptions!$H$91*Sensitivity!$C$6</f>
        <v/>
      </c>
      <c r="AQ51" s="25">
        <f>AQ37*Assumptions!$H$87*Assumptions!$H$91*Sensitivity!$C$6</f>
        <v/>
      </c>
      <c r="AR51" s="25">
        <f>AR37*Assumptions!$H$87*Assumptions!$H$91*Sensitivity!$C$6</f>
        <v/>
      </c>
      <c r="AS51" s="25">
        <f>AS37*Assumptions!$H$87*Assumptions!$H$91*Sensitivity!$C$6</f>
        <v/>
      </c>
      <c r="AT51" s="25">
        <f>AT37*Assumptions!$H$87*Assumptions!$H$91*Sensitivity!$C$6</f>
        <v/>
      </c>
      <c r="AU51" s="25">
        <f>AU37*Assumptions!$H$87*Assumptions!$H$91*Sensitivity!$C$6</f>
        <v/>
      </c>
      <c r="AV51" s="25">
        <f>AV37*Assumptions!$H$87*Assumptions!$H$91*Sensitivity!$C$6</f>
        <v/>
      </c>
      <c r="AW51" s="25">
        <f>AW37*Assumptions!$H$87*Assumptions!$H$91*Sensitivity!$C$6</f>
        <v/>
      </c>
      <c r="AX51" s="25">
        <f>AX37*Assumptions!$H$87*Assumptions!$H$91*Sensitivity!$C$6</f>
        <v/>
      </c>
      <c r="AY51" s="25">
        <f>AY37*Assumptions!$H$87*Assumptions!$H$91*Sensitivity!$C$6</f>
        <v/>
      </c>
      <c r="AZ51" s="25">
        <f>AZ37*Assumptions!$H$87*Assumptions!$H$91*Sensitivity!$C$6</f>
        <v/>
      </c>
      <c r="BA51" s="25">
        <f>BA37*Assumptions!$H$87*Assumptions!$H$91*Sensitivity!$C$6</f>
        <v/>
      </c>
      <c r="BB51" s="25">
        <f>BB37*Assumptions!$H$87*Assumptions!$H$91*Sensitivity!$C$6</f>
        <v/>
      </c>
      <c r="BC51" s="25">
        <f>BC37*Assumptions!$H$87*Assumptions!$H$91*Sensitivity!$C$6</f>
        <v/>
      </c>
      <c r="BD51" s="25">
        <f>BD37*Assumptions!$H$87*Assumptions!$H$91*Sensitivity!$C$6</f>
        <v/>
      </c>
      <c r="BE51" s="25">
        <f>BE37*Assumptions!$H$87*Assumptions!$H$91*Sensitivity!$C$6</f>
        <v/>
      </c>
      <c r="BF51" s="25">
        <f>BF37*Assumptions!$H$87*Assumptions!$H$91*Sensitivity!$C$6</f>
        <v/>
      </c>
      <c r="BG51" s="25">
        <f>BG37*Assumptions!$H$87*Assumptions!$H$91*Sensitivity!$C$6</f>
        <v/>
      </c>
      <c r="BH51" s="25">
        <f>BH37*Assumptions!$H$87*Assumptions!$H$91*Sensitivity!$C$6</f>
        <v/>
      </c>
      <c r="BI51" s="25">
        <f>BI37*Assumptions!$H$87*Assumptions!$H$91*Sensitivity!$C$6</f>
        <v/>
      </c>
      <c r="BJ51" s="25">
        <f>BJ37*Assumptions!$H$87*Assumptions!$H$91*Sensitivity!$C$6</f>
        <v/>
      </c>
      <c r="BK51" s="25">
        <f>BK37*Assumptions!$H$87*Assumptions!$H$91*Sensitivity!$C$6</f>
        <v/>
      </c>
      <c r="BL51" s="25">
        <f>BL37*Assumptions!$H$87*Assumptions!$H$91*Sensitivity!$C$6</f>
        <v/>
      </c>
      <c r="BM51" s="25">
        <f>BM37*Assumptions!$H$87*Assumptions!$H$91*Sensitivity!$C$6</f>
        <v/>
      </c>
      <c r="BN51" s="25">
        <f>BN37*Assumptions!$H$87*Assumptions!$H$91*Sensitivity!$C$6</f>
        <v/>
      </c>
      <c r="BO51" s="25">
        <f>BO37*Assumptions!$H$87*Assumptions!$H$91*Sensitivity!$C$6</f>
        <v/>
      </c>
      <c r="BP51" s="25">
        <f>BP37*Assumptions!$H$87*Assumptions!$H$91*Sensitivity!$C$6</f>
        <v/>
      </c>
      <c r="BQ51" s="25">
        <f>BQ37*Assumptions!$H$87*Assumptions!$H$91*Sensitivity!$C$6</f>
        <v/>
      </c>
      <c r="BR51" s="25">
        <f>BR37*Assumptions!$H$87*Assumptions!$H$91*Sensitivity!$C$6</f>
        <v/>
      </c>
      <c r="BS51" s="25">
        <f>BS37*Assumptions!$H$87*Assumptions!$H$91*Sensitivity!$C$6</f>
        <v/>
      </c>
      <c r="BT51" s="25">
        <f>BT37*Assumptions!$H$87*Assumptions!$H$91*Sensitivity!$C$6</f>
        <v/>
      </c>
      <c r="BU51" s="25">
        <f>BU37*Assumptions!$H$87*Assumptions!$H$91*Sensitivity!$C$6</f>
        <v/>
      </c>
      <c r="BV51" s="25">
        <f>BV37*Assumptions!$H$87*Assumptions!$H$91*Sensitivity!$C$6</f>
        <v/>
      </c>
      <c r="BW51" s="25">
        <f>BW37*Assumptions!$H$87*Assumptions!$H$91*Sensitivity!$C$6</f>
        <v/>
      </c>
      <c r="BX51" s="25">
        <f>BX37*Assumptions!$H$87*Assumptions!$H$91*Sensitivity!$C$6</f>
        <v/>
      </c>
      <c r="BY51" s="25">
        <f>BY37*Assumptions!$H$87*Assumptions!$H$91*Sensitivity!$C$6</f>
        <v/>
      </c>
      <c r="BZ51" s="25">
        <f>BZ37*Assumptions!$H$87*Assumptions!$H$91*Sensitivity!$C$6</f>
        <v/>
      </c>
      <c r="CA51" s="25">
        <f>CA37*Assumptions!$H$87*Assumptions!$H$91*Sensitivity!$C$6</f>
        <v/>
      </c>
      <c r="CB51" s="25">
        <f>CB37*Assumptions!$H$87*Assumptions!$H$91*Sensitivity!$C$6</f>
        <v/>
      </c>
      <c r="CC51" s="25">
        <f>CC37*Assumptions!$H$87*Assumptions!$H$91*Sensitivity!$C$6</f>
        <v/>
      </c>
      <c r="CD51" s="25">
        <f>CD37*Assumptions!$H$87*Assumptions!$H$91*Sensitivity!$C$6</f>
        <v/>
      </c>
      <c r="CE51" s="25">
        <f>CE37*Assumptions!$H$87*Assumptions!$H$91*Sensitivity!$C$6</f>
        <v/>
      </c>
      <c r="CF51" s="25">
        <f>CF37*Assumptions!$H$87*Assumptions!$H$91*Sensitivity!$C$6</f>
        <v/>
      </c>
      <c r="CG51" s="25">
        <f>CG37*Assumptions!$H$87*Assumptions!$H$91*Sensitivity!$C$6</f>
        <v/>
      </c>
      <c r="CH51" s="25">
        <f>CH37*Assumptions!$H$87*Assumptions!$H$91*Sensitivity!$C$6</f>
        <v/>
      </c>
      <c r="CI51" s="25">
        <f>CI37*Assumptions!$H$87*Assumptions!$H$91*Sensitivity!$C$6</f>
        <v/>
      </c>
      <c r="CJ51" s="25">
        <f>CJ37*Assumptions!$H$87*Assumptions!$H$91*Sensitivity!$C$6</f>
        <v/>
      </c>
      <c r="CK51" s="25">
        <f>CK37*Assumptions!$H$87*Assumptions!$H$91*Sensitivity!$C$6</f>
        <v/>
      </c>
      <c r="CL51" s="25">
        <f>CL37*Assumptions!$H$87*Assumptions!$H$91*Sensitivity!$C$6</f>
        <v/>
      </c>
      <c r="CM51" s="25">
        <f>CM37*Assumptions!$H$87*Assumptions!$H$91*Sensitivity!$C$6</f>
        <v/>
      </c>
      <c r="CN51" s="25">
        <f>CN37*Assumptions!$H$87*Assumptions!$H$91*Sensitivity!$C$6</f>
        <v/>
      </c>
      <c r="CO51" s="25">
        <f>CO37*Assumptions!$H$87*Assumptions!$H$91*Sensitivity!$C$6</f>
        <v/>
      </c>
      <c r="CP51" s="25">
        <f>CP37*Assumptions!$H$87*Assumptions!$H$91*Sensitivity!$C$6</f>
        <v/>
      </c>
      <c r="CQ51" s="25">
        <f>CQ37*Assumptions!$H$87*Assumptions!$H$91*Sensitivity!$C$6</f>
        <v/>
      </c>
      <c r="CR51" s="25">
        <f>CR37*Assumptions!$H$87*Assumptions!$H$91*Sensitivity!$C$6</f>
        <v/>
      </c>
      <c r="CS51" s="25">
        <f>CS37*Assumptions!$H$87*Assumptions!$H$91*Sensitivity!$C$6</f>
        <v/>
      </c>
      <c r="CT51" s="25">
        <f>CT37*Assumptions!$H$87*Assumptions!$H$91*Sensitivity!$C$6</f>
        <v/>
      </c>
      <c r="CU51" s="25">
        <f>CU37*Assumptions!$H$87*Assumptions!$H$91*Sensitivity!$C$6</f>
        <v/>
      </c>
      <c r="CV51" s="25">
        <f>CV37*Assumptions!$H$87*Assumptions!$H$91*Sensitivity!$C$6</f>
        <v/>
      </c>
      <c r="CW51" s="25">
        <f>CW37*Assumptions!$H$87*Assumptions!$H$91*Sensitivity!$C$6</f>
        <v/>
      </c>
      <c r="CX51" s="25">
        <f>CX37*Assumptions!$H$87*Assumptions!$H$91*Sensitivity!$C$6</f>
        <v/>
      </c>
      <c r="CY51" s="25">
        <f>CY37*Assumptions!$H$87*Assumptions!$H$91*Sensitivity!$C$6</f>
        <v/>
      </c>
      <c r="CZ51" s="25">
        <f>CZ37*Assumptions!$H$87*Assumptions!$H$91*Sensitivity!$C$6</f>
        <v/>
      </c>
      <c r="DA51" s="25">
        <f>DA37*Assumptions!$H$87*Assumptions!$H$91*Sensitivity!$C$6</f>
        <v/>
      </c>
      <c r="DB51" s="25">
        <f>DB37*Assumptions!$H$87*Assumptions!$H$91*Sensitivity!$C$6</f>
        <v/>
      </c>
      <c r="DC51" s="25">
        <f>DC37*Assumptions!$H$87*Assumptions!$H$91*Sensitivity!$C$6</f>
        <v/>
      </c>
      <c r="DD51" s="25">
        <f>DD37*Assumptions!$H$87*Assumptions!$H$91*Sensitivity!$C$6</f>
        <v/>
      </c>
      <c r="DE51" s="25">
        <f>DE37*Assumptions!$H$87*Assumptions!$H$91*Sensitivity!$C$6</f>
        <v/>
      </c>
      <c r="DF51" s="25">
        <f>DF37*Assumptions!$H$87*Assumptions!$H$91*Sensitivity!$C$6</f>
        <v/>
      </c>
      <c r="DG51" s="25">
        <f>DG37*Assumptions!$H$87*Assumptions!$H$91*Sensitivity!$C$6</f>
        <v/>
      </c>
      <c r="DH51" s="25">
        <f>DH37*Assumptions!$H$87*Assumptions!$H$91*Sensitivity!$C$6</f>
        <v/>
      </c>
      <c r="DI51" s="25">
        <f>DI37*Assumptions!$H$87*Assumptions!$H$91*Sensitivity!$C$6</f>
        <v/>
      </c>
      <c r="DJ51" s="25">
        <f>DJ37*Assumptions!$H$87*Assumptions!$H$91*Sensitivity!$C$6</f>
        <v/>
      </c>
      <c r="DK51" s="25">
        <f>DK37*Assumptions!$H$87*Assumptions!$H$91*Sensitivity!$C$6</f>
        <v/>
      </c>
      <c r="DL51" s="25">
        <f>DL37*Assumptions!$H$87*Assumptions!$H$91*Sensitivity!$C$6</f>
        <v/>
      </c>
      <c r="DM51" s="25">
        <f>DM37*Assumptions!$H$87*Assumptions!$H$91*Sensitivity!$C$6</f>
        <v/>
      </c>
      <c r="DN51" s="25">
        <f>DN37*Assumptions!$H$87*Assumptions!$H$91*Sensitivity!$C$6</f>
        <v/>
      </c>
      <c r="DO51" s="25">
        <f>DO37*Assumptions!$H$87*Assumptions!$H$91*Sensitivity!$C$6</f>
        <v/>
      </c>
      <c r="DP51" s="25">
        <f>DP37*Assumptions!$H$87*Assumptions!$H$91*Sensitivity!$C$6</f>
        <v/>
      </c>
      <c r="DQ51" s="25">
        <f>DQ37*Assumptions!$H$87*Assumptions!$H$91*Sensitivity!$C$6</f>
        <v/>
      </c>
      <c r="DR51" s="25">
        <f>DR37*Assumptions!$H$87*Assumptions!$H$91*Sensitivity!$C$6</f>
        <v/>
      </c>
      <c r="DS51" s="25">
        <f>DS37*Assumptions!$H$87*Assumptions!$H$91*Sensitivity!$C$6</f>
        <v/>
      </c>
    </row>
    <row r="52">
      <c r="A52" s="2" t="inlineStr">
        <is>
          <t>SH_BUYCOST</t>
        </is>
      </c>
      <c r="B52" s="6" t="inlineStr">
        <is>
          <t>Animal purchases</t>
        </is>
      </c>
      <c r="C52" s="2" t="inlineStr">
        <is>
          <t>RWF</t>
        </is>
      </c>
      <c r="D52" s="25">
        <f>(D33*Assumptions!$H$95+D47*Assumptions!$H$99)*Sensitivity!$C$11</f>
        <v/>
      </c>
      <c r="E52" s="25">
        <f>(E33*Assumptions!$H$95+E47*Assumptions!$H$99)*Sensitivity!$C$11</f>
        <v/>
      </c>
      <c r="F52" s="25">
        <f>(F33*Assumptions!$H$95+F47*Assumptions!$H$99)*Sensitivity!$C$11</f>
        <v/>
      </c>
      <c r="G52" s="25">
        <f>(G33*Assumptions!$H$95+G47*Assumptions!$H$99)*Sensitivity!$C$11</f>
        <v/>
      </c>
      <c r="H52" s="25">
        <f>(H33*Assumptions!$H$95+H47*Assumptions!$H$99)*Sensitivity!$C$11</f>
        <v/>
      </c>
      <c r="I52" s="25">
        <f>(I33*Assumptions!$H$95+I47*Assumptions!$H$99)*Sensitivity!$C$11</f>
        <v/>
      </c>
      <c r="J52" s="25">
        <f>(J33*Assumptions!$H$95+J47*Assumptions!$H$99)*Sensitivity!$C$11</f>
        <v/>
      </c>
      <c r="K52" s="25">
        <f>(K33*Assumptions!$H$95+K47*Assumptions!$H$99)*Sensitivity!$C$11</f>
        <v/>
      </c>
      <c r="L52" s="25">
        <f>(L33*Assumptions!$H$95+L47*Assumptions!$H$99)*Sensitivity!$C$11</f>
        <v/>
      </c>
      <c r="M52" s="25">
        <f>(M33*Assumptions!$H$95+M47*Assumptions!$H$99)*Sensitivity!$C$11</f>
        <v/>
      </c>
      <c r="N52" s="25">
        <f>(N33*Assumptions!$H$95+N47*Assumptions!$H$99)*Sensitivity!$C$11</f>
        <v/>
      </c>
      <c r="O52" s="25">
        <f>(O33*Assumptions!$H$95+O47*Assumptions!$H$99)*Sensitivity!$C$11</f>
        <v/>
      </c>
      <c r="P52" s="25">
        <f>(P33*Assumptions!$H$95+P47*Assumptions!$H$99)*Sensitivity!$C$11</f>
        <v/>
      </c>
      <c r="Q52" s="25">
        <f>(Q33*Assumptions!$H$95+Q47*Assumptions!$H$99)*Sensitivity!$C$11</f>
        <v/>
      </c>
      <c r="R52" s="25">
        <f>(R33*Assumptions!$H$95+R47*Assumptions!$H$99)*Sensitivity!$C$11</f>
        <v/>
      </c>
      <c r="S52" s="25">
        <f>(S33*Assumptions!$H$95+S47*Assumptions!$H$99)*Sensitivity!$C$11</f>
        <v/>
      </c>
      <c r="T52" s="25">
        <f>(T33*Assumptions!$H$95+T47*Assumptions!$H$99)*Sensitivity!$C$11</f>
        <v/>
      </c>
      <c r="U52" s="25">
        <f>(U33*Assumptions!$H$95+U47*Assumptions!$H$99)*Sensitivity!$C$11</f>
        <v/>
      </c>
      <c r="V52" s="25">
        <f>(V33*Assumptions!$H$95+V47*Assumptions!$H$99)*Sensitivity!$C$11</f>
        <v/>
      </c>
      <c r="W52" s="25">
        <f>(W33*Assumptions!$H$95+W47*Assumptions!$H$99)*Sensitivity!$C$11</f>
        <v/>
      </c>
      <c r="X52" s="25">
        <f>(X33*Assumptions!$H$95+X47*Assumptions!$H$99)*Sensitivity!$C$11</f>
        <v/>
      </c>
      <c r="Y52" s="25">
        <f>(Y33*Assumptions!$H$95+Y47*Assumptions!$H$99)*Sensitivity!$C$11</f>
        <v/>
      </c>
      <c r="Z52" s="25">
        <f>(Z33*Assumptions!$H$95+Z47*Assumptions!$H$99)*Sensitivity!$C$11</f>
        <v/>
      </c>
      <c r="AA52" s="25">
        <f>(AA33*Assumptions!$H$95+AA47*Assumptions!$H$99)*Sensitivity!$C$11</f>
        <v/>
      </c>
      <c r="AB52" s="25">
        <f>(AB33*Assumptions!$H$95+AB47*Assumptions!$H$99)*Sensitivity!$C$11</f>
        <v/>
      </c>
      <c r="AC52" s="25">
        <f>(AC33*Assumptions!$H$95+AC47*Assumptions!$H$99)*Sensitivity!$C$11</f>
        <v/>
      </c>
      <c r="AD52" s="25">
        <f>(AD33*Assumptions!$H$95+AD47*Assumptions!$H$99)*Sensitivity!$C$11</f>
        <v/>
      </c>
      <c r="AE52" s="25">
        <f>(AE33*Assumptions!$H$95+AE47*Assumptions!$H$99)*Sensitivity!$C$11</f>
        <v/>
      </c>
      <c r="AF52" s="25">
        <f>(AF33*Assumptions!$H$95+AF47*Assumptions!$H$99)*Sensitivity!$C$11</f>
        <v/>
      </c>
      <c r="AG52" s="25">
        <f>(AG33*Assumptions!$H$95+AG47*Assumptions!$H$99)*Sensitivity!$C$11</f>
        <v/>
      </c>
      <c r="AH52" s="25">
        <f>(AH33*Assumptions!$H$95+AH47*Assumptions!$H$99)*Sensitivity!$C$11</f>
        <v/>
      </c>
      <c r="AI52" s="25">
        <f>(AI33*Assumptions!$H$95+AI47*Assumptions!$H$99)*Sensitivity!$C$11</f>
        <v/>
      </c>
      <c r="AJ52" s="25">
        <f>(AJ33*Assumptions!$H$95+AJ47*Assumptions!$H$99)*Sensitivity!$C$11</f>
        <v/>
      </c>
      <c r="AK52" s="25">
        <f>(AK33*Assumptions!$H$95+AK47*Assumptions!$H$99)*Sensitivity!$C$11</f>
        <v/>
      </c>
      <c r="AL52" s="25">
        <f>(AL33*Assumptions!$H$95+AL47*Assumptions!$H$99)*Sensitivity!$C$11</f>
        <v/>
      </c>
      <c r="AM52" s="25">
        <f>(AM33*Assumptions!$H$95+AM47*Assumptions!$H$99)*Sensitivity!$C$11</f>
        <v/>
      </c>
      <c r="AN52" s="25">
        <f>(AN33*Assumptions!$H$95+AN47*Assumptions!$H$99)*Sensitivity!$C$11</f>
        <v/>
      </c>
      <c r="AO52" s="25">
        <f>(AO33*Assumptions!$H$95+AO47*Assumptions!$H$99)*Sensitivity!$C$11</f>
        <v/>
      </c>
      <c r="AP52" s="25">
        <f>(AP33*Assumptions!$H$95+AP47*Assumptions!$H$99)*Sensitivity!$C$11</f>
        <v/>
      </c>
      <c r="AQ52" s="25">
        <f>(AQ33*Assumptions!$H$95+AQ47*Assumptions!$H$99)*Sensitivity!$C$11</f>
        <v/>
      </c>
      <c r="AR52" s="25">
        <f>(AR33*Assumptions!$H$95+AR47*Assumptions!$H$99)*Sensitivity!$C$11</f>
        <v/>
      </c>
      <c r="AS52" s="25">
        <f>(AS33*Assumptions!$H$95+AS47*Assumptions!$H$99)*Sensitivity!$C$11</f>
        <v/>
      </c>
      <c r="AT52" s="25">
        <f>(AT33*Assumptions!$H$95+AT47*Assumptions!$H$99)*Sensitivity!$C$11</f>
        <v/>
      </c>
      <c r="AU52" s="25">
        <f>(AU33*Assumptions!$H$95+AU47*Assumptions!$H$99)*Sensitivity!$C$11</f>
        <v/>
      </c>
      <c r="AV52" s="25">
        <f>(AV33*Assumptions!$H$95+AV47*Assumptions!$H$99)*Sensitivity!$C$11</f>
        <v/>
      </c>
      <c r="AW52" s="25">
        <f>(AW33*Assumptions!$H$95+AW47*Assumptions!$H$99)*Sensitivity!$C$11</f>
        <v/>
      </c>
      <c r="AX52" s="25">
        <f>(AX33*Assumptions!$H$95+AX47*Assumptions!$H$99)*Sensitivity!$C$11</f>
        <v/>
      </c>
      <c r="AY52" s="25">
        <f>(AY33*Assumptions!$H$95+AY47*Assumptions!$H$99)*Sensitivity!$C$11</f>
        <v/>
      </c>
      <c r="AZ52" s="25">
        <f>(AZ33*Assumptions!$H$95+AZ47*Assumptions!$H$99)*Sensitivity!$C$11</f>
        <v/>
      </c>
      <c r="BA52" s="25">
        <f>(BA33*Assumptions!$H$95+BA47*Assumptions!$H$99)*Sensitivity!$C$11</f>
        <v/>
      </c>
      <c r="BB52" s="25">
        <f>(BB33*Assumptions!$H$95+BB47*Assumptions!$H$99)*Sensitivity!$C$11</f>
        <v/>
      </c>
      <c r="BC52" s="25">
        <f>(BC33*Assumptions!$H$95+BC47*Assumptions!$H$99)*Sensitivity!$C$11</f>
        <v/>
      </c>
      <c r="BD52" s="25">
        <f>(BD33*Assumptions!$H$95+BD47*Assumptions!$H$99)*Sensitivity!$C$11</f>
        <v/>
      </c>
      <c r="BE52" s="25">
        <f>(BE33*Assumptions!$H$95+BE47*Assumptions!$H$99)*Sensitivity!$C$11</f>
        <v/>
      </c>
      <c r="BF52" s="25">
        <f>(BF33*Assumptions!$H$95+BF47*Assumptions!$H$99)*Sensitivity!$C$11</f>
        <v/>
      </c>
      <c r="BG52" s="25">
        <f>(BG33*Assumptions!$H$95+BG47*Assumptions!$H$99)*Sensitivity!$C$11</f>
        <v/>
      </c>
      <c r="BH52" s="25">
        <f>(BH33*Assumptions!$H$95+BH47*Assumptions!$H$99)*Sensitivity!$C$11</f>
        <v/>
      </c>
      <c r="BI52" s="25">
        <f>(BI33*Assumptions!$H$95+BI47*Assumptions!$H$99)*Sensitivity!$C$11</f>
        <v/>
      </c>
      <c r="BJ52" s="25">
        <f>(BJ33*Assumptions!$H$95+BJ47*Assumptions!$H$99)*Sensitivity!$C$11</f>
        <v/>
      </c>
      <c r="BK52" s="25">
        <f>(BK33*Assumptions!$H$95+BK47*Assumptions!$H$99)*Sensitivity!$C$11</f>
        <v/>
      </c>
      <c r="BL52" s="25">
        <f>(BL33*Assumptions!$H$95+BL47*Assumptions!$H$99)*Sensitivity!$C$11</f>
        <v/>
      </c>
      <c r="BM52" s="25">
        <f>(BM33*Assumptions!$H$95+BM47*Assumptions!$H$99)*Sensitivity!$C$11</f>
        <v/>
      </c>
      <c r="BN52" s="25">
        <f>(BN33*Assumptions!$H$95+BN47*Assumptions!$H$99)*Sensitivity!$C$11</f>
        <v/>
      </c>
      <c r="BO52" s="25">
        <f>(BO33*Assumptions!$H$95+BO47*Assumptions!$H$99)*Sensitivity!$C$11</f>
        <v/>
      </c>
      <c r="BP52" s="25">
        <f>(BP33*Assumptions!$H$95+BP47*Assumptions!$H$99)*Sensitivity!$C$11</f>
        <v/>
      </c>
      <c r="BQ52" s="25">
        <f>(BQ33*Assumptions!$H$95+BQ47*Assumptions!$H$99)*Sensitivity!$C$11</f>
        <v/>
      </c>
      <c r="BR52" s="25">
        <f>(BR33*Assumptions!$H$95+BR47*Assumptions!$H$99)*Sensitivity!$C$11</f>
        <v/>
      </c>
      <c r="BS52" s="25">
        <f>(BS33*Assumptions!$H$95+BS47*Assumptions!$H$99)*Sensitivity!$C$11</f>
        <v/>
      </c>
      <c r="BT52" s="25">
        <f>(BT33*Assumptions!$H$95+BT47*Assumptions!$H$99)*Sensitivity!$C$11</f>
        <v/>
      </c>
      <c r="BU52" s="25">
        <f>(BU33*Assumptions!$H$95+BU47*Assumptions!$H$99)*Sensitivity!$C$11</f>
        <v/>
      </c>
      <c r="BV52" s="25">
        <f>(BV33*Assumptions!$H$95+BV47*Assumptions!$H$99)*Sensitivity!$C$11</f>
        <v/>
      </c>
      <c r="BW52" s="25">
        <f>(BW33*Assumptions!$H$95+BW47*Assumptions!$H$99)*Sensitivity!$C$11</f>
        <v/>
      </c>
      <c r="BX52" s="25">
        <f>(BX33*Assumptions!$H$95+BX47*Assumptions!$H$99)*Sensitivity!$C$11</f>
        <v/>
      </c>
      <c r="BY52" s="25">
        <f>(BY33*Assumptions!$H$95+BY47*Assumptions!$H$99)*Sensitivity!$C$11</f>
        <v/>
      </c>
      <c r="BZ52" s="25">
        <f>(BZ33*Assumptions!$H$95+BZ47*Assumptions!$H$99)*Sensitivity!$C$11</f>
        <v/>
      </c>
      <c r="CA52" s="25">
        <f>(CA33*Assumptions!$H$95+CA47*Assumptions!$H$99)*Sensitivity!$C$11</f>
        <v/>
      </c>
      <c r="CB52" s="25">
        <f>(CB33*Assumptions!$H$95+CB47*Assumptions!$H$99)*Sensitivity!$C$11</f>
        <v/>
      </c>
      <c r="CC52" s="25">
        <f>(CC33*Assumptions!$H$95+CC47*Assumptions!$H$99)*Sensitivity!$C$11</f>
        <v/>
      </c>
      <c r="CD52" s="25">
        <f>(CD33*Assumptions!$H$95+CD47*Assumptions!$H$99)*Sensitivity!$C$11</f>
        <v/>
      </c>
      <c r="CE52" s="25">
        <f>(CE33*Assumptions!$H$95+CE47*Assumptions!$H$99)*Sensitivity!$C$11</f>
        <v/>
      </c>
      <c r="CF52" s="25">
        <f>(CF33*Assumptions!$H$95+CF47*Assumptions!$H$99)*Sensitivity!$C$11</f>
        <v/>
      </c>
      <c r="CG52" s="25">
        <f>(CG33*Assumptions!$H$95+CG47*Assumptions!$H$99)*Sensitivity!$C$11</f>
        <v/>
      </c>
      <c r="CH52" s="25">
        <f>(CH33*Assumptions!$H$95+CH47*Assumptions!$H$99)*Sensitivity!$C$11</f>
        <v/>
      </c>
      <c r="CI52" s="25">
        <f>(CI33*Assumptions!$H$95+CI47*Assumptions!$H$99)*Sensitivity!$C$11</f>
        <v/>
      </c>
      <c r="CJ52" s="25">
        <f>(CJ33*Assumptions!$H$95+CJ47*Assumptions!$H$99)*Sensitivity!$C$11</f>
        <v/>
      </c>
      <c r="CK52" s="25">
        <f>(CK33*Assumptions!$H$95+CK47*Assumptions!$H$99)*Sensitivity!$C$11</f>
        <v/>
      </c>
      <c r="CL52" s="25">
        <f>(CL33*Assumptions!$H$95+CL47*Assumptions!$H$99)*Sensitivity!$C$11</f>
        <v/>
      </c>
      <c r="CM52" s="25">
        <f>(CM33*Assumptions!$H$95+CM47*Assumptions!$H$99)*Sensitivity!$C$11</f>
        <v/>
      </c>
      <c r="CN52" s="25">
        <f>(CN33*Assumptions!$H$95+CN47*Assumptions!$H$99)*Sensitivity!$C$11</f>
        <v/>
      </c>
      <c r="CO52" s="25">
        <f>(CO33*Assumptions!$H$95+CO47*Assumptions!$H$99)*Sensitivity!$C$11</f>
        <v/>
      </c>
      <c r="CP52" s="25">
        <f>(CP33*Assumptions!$H$95+CP47*Assumptions!$H$99)*Sensitivity!$C$11</f>
        <v/>
      </c>
      <c r="CQ52" s="25">
        <f>(CQ33*Assumptions!$H$95+CQ47*Assumptions!$H$99)*Sensitivity!$C$11</f>
        <v/>
      </c>
      <c r="CR52" s="25">
        <f>(CR33*Assumptions!$H$95+CR47*Assumptions!$H$99)*Sensitivity!$C$11</f>
        <v/>
      </c>
      <c r="CS52" s="25">
        <f>(CS33*Assumptions!$H$95+CS47*Assumptions!$H$99)*Sensitivity!$C$11</f>
        <v/>
      </c>
      <c r="CT52" s="25">
        <f>(CT33*Assumptions!$H$95+CT47*Assumptions!$H$99)*Sensitivity!$C$11</f>
        <v/>
      </c>
      <c r="CU52" s="25">
        <f>(CU33*Assumptions!$H$95+CU47*Assumptions!$H$99)*Sensitivity!$C$11</f>
        <v/>
      </c>
      <c r="CV52" s="25">
        <f>(CV33*Assumptions!$H$95+CV47*Assumptions!$H$99)*Sensitivity!$C$11</f>
        <v/>
      </c>
      <c r="CW52" s="25">
        <f>(CW33*Assumptions!$H$95+CW47*Assumptions!$H$99)*Sensitivity!$C$11</f>
        <v/>
      </c>
      <c r="CX52" s="25">
        <f>(CX33*Assumptions!$H$95+CX47*Assumptions!$H$99)*Sensitivity!$C$11</f>
        <v/>
      </c>
      <c r="CY52" s="25">
        <f>(CY33*Assumptions!$H$95+CY47*Assumptions!$H$99)*Sensitivity!$C$11</f>
        <v/>
      </c>
      <c r="CZ52" s="25">
        <f>(CZ33*Assumptions!$H$95+CZ47*Assumptions!$H$99)*Sensitivity!$C$11</f>
        <v/>
      </c>
      <c r="DA52" s="25">
        <f>(DA33*Assumptions!$H$95+DA47*Assumptions!$H$99)*Sensitivity!$C$11</f>
        <v/>
      </c>
      <c r="DB52" s="25">
        <f>(DB33*Assumptions!$H$95+DB47*Assumptions!$H$99)*Sensitivity!$C$11</f>
        <v/>
      </c>
      <c r="DC52" s="25">
        <f>(DC33*Assumptions!$H$95+DC47*Assumptions!$H$99)*Sensitivity!$C$11</f>
        <v/>
      </c>
      <c r="DD52" s="25">
        <f>(DD33*Assumptions!$H$95+DD47*Assumptions!$H$99)*Sensitivity!$C$11</f>
        <v/>
      </c>
      <c r="DE52" s="25">
        <f>(DE33*Assumptions!$H$95+DE47*Assumptions!$H$99)*Sensitivity!$C$11</f>
        <v/>
      </c>
      <c r="DF52" s="25">
        <f>(DF33*Assumptions!$H$95+DF47*Assumptions!$H$99)*Sensitivity!$C$11</f>
        <v/>
      </c>
      <c r="DG52" s="25">
        <f>(DG33*Assumptions!$H$95+DG47*Assumptions!$H$99)*Sensitivity!$C$11</f>
        <v/>
      </c>
      <c r="DH52" s="25">
        <f>(DH33*Assumptions!$H$95+DH47*Assumptions!$H$99)*Sensitivity!$C$11</f>
        <v/>
      </c>
      <c r="DI52" s="25">
        <f>(DI33*Assumptions!$H$95+DI47*Assumptions!$H$99)*Sensitivity!$C$11</f>
        <v/>
      </c>
      <c r="DJ52" s="25">
        <f>(DJ33*Assumptions!$H$95+DJ47*Assumptions!$H$99)*Sensitivity!$C$11</f>
        <v/>
      </c>
      <c r="DK52" s="25">
        <f>(DK33*Assumptions!$H$95+DK47*Assumptions!$H$99)*Sensitivity!$C$11</f>
        <v/>
      </c>
      <c r="DL52" s="25">
        <f>(DL33*Assumptions!$H$95+DL47*Assumptions!$H$99)*Sensitivity!$C$11</f>
        <v/>
      </c>
      <c r="DM52" s="25">
        <f>(DM33*Assumptions!$H$95+DM47*Assumptions!$H$99)*Sensitivity!$C$11</f>
        <v/>
      </c>
      <c r="DN52" s="25">
        <f>(DN33*Assumptions!$H$95+DN47*Assumptions!$H$99)*Sensitivity!$C$11</f>
        <v/>
      </c>
      <c r="DO52" s="25">
        <f>(DO33*Assumptions!$H$95+DO47*Assumptions!$H$99)*Sensitivity!$C$11</f>
        <v/>
      </c>
      <c r="DP52" s="25">
        <f>(DP33*Assumptions!$H$95+DP47*Assumptions!$H$99)*Sensitivity!$C$11</f>
        <v/>
      </c>
      <c r="DQ52" s="25">
        <f>(DQ33*Assumptions!$H$95+DQ47*Assumptions!$H$99)*Sensitivity!$C$11</f>
        <v/>
      </c>
      <c r="DR52" s="25">
        <f>(DR33*Assumptions!$H$95+DR47*Assumptions!$H$99)*Sensitivity!$C$11</f>
        <v/>
      </c>
      <c r="DS52" s="25">
        <f>(DS33*Assumptions!$H$95+DS47*Assumptions!$H$99)*Sensitivity!$C$11</f>
        <v/>
      </c>
    </row>
    <row r="53">
      <c r="A53" s="2" t="inlineStr">
        <is>
          <t>SH_VALUE</t>
        </is>
      </c>
      <c r="B53" s="6" t="inlineStr">
        <is>
          <t>Breeding herd value (insurance basis)</t>
        </is>
      </c>
      <c r="C53" s="2" t="inlineStr">
        <is>
          <t>RWF</t>
        </is>
      </c>
      <c r="D53" s="25">
        <f>D42*Assumptions!$H$95+D46*Assumptions!$H$99</f>
        <v/>
      </c>
      <c r="E53" s="25">
        <f>E42*Assumptions!$H$95+E46*Assumptions!$H$99</f>
        <v/>
      </c>
      <c r="F53" s="25">
        <f>F42*Assumptions!$H$95+F46*Assumptions!$H$99</f>
        <v/>
      </c>
      <c r="G53" s="25">
        <f>G42*Assumptions!$H$95+G46*Assumptions!$H$99</f>
        <v/>
      </c>
      <c r="H53" s="25">
        <f>H42*Assumptions!$H$95+H46*Assumptions!$H$99</f>
        <v/>
      </c>
      <c r="I53" s="25">
        <f>I42*Assumptions!$H$95+I46*Assumptions!$H$99</f>
        <v/>
      </c>
      <c r="J53" s="25">
        <f>J42*Assumptions!$H$95+J46*Assumptions!$H$99</f>
        <v/>
      </c>
      <c r="K53" s="25">
        <f>K42*Assumptions!$H$95+K46*Assumptions!$H$99</f>
        <v/>
      </c>
      <c r="L53" s="25">
        <f>L42*Assumptions!$H$95+L46*Assumptions!$H$99</f>
        <v/>
      </c>
      <c r="M53" s="25">
        <f>M42*Assumptions!$H$95+M46*Assumptions!$H$99</f>
        <v/>
      </c>
      <c r="N53" s="25">
        <f>N42*Assumptions!$H$95+N46*Assumptions!$H$99</f>
        <v/>
      </c>
      <c r="O53" s="25">
        <f>O42*Assumptions!$H$95+O46*Assumptions!$H$99</f>
        <v/>
      </c>
      <c r="P53" s="25">
        <f>P42*Assumptions!$H$95+P46*Assumptions!$H$99</f>
        <v/>
      </c>
      <c r="Q53" s="25">
        <f>Q42*Assumptions!$H$95+Q46*Assumptions!$H$99</f>
        <v/>
      </c>
      <c r="R53" s="25">
        <f>R42*Assumptions!$H$95+R46*Assumptions!$H$99</f>
        <v/>
      </c>
      <c r="S53" s="25">
        <f>S42*Assumptions!$H$95+S46*Assumptions!$H$99</f>
        <v/>
      </c>
      <c r="T53" s="25">
        <f>T42*Assumptions!$H$95+T46*Assumptions!$H$99</f>
        <v/>
      </c>
      <c r="U53" s="25">
        <f>U42*Assumptions!$H$95+U46*Assumptions!$H$99</f>
        <v/>
      </c>
      <c r="V53" s="25">
        <f>V42*Assumptions!$H$95+V46*Assumptions!$H$99</f>
        <v/>
      </c>
      <c r="W53" s="25">
        <f>W42*Assumptions!$H$95+W46*Assumptions!$H$99</f>
        <v/>
      </c>
      <c r="X53" s="25">
        <f>X42*Assumptions!$H$95+X46*Assumptions!$H$99</f>
        <v/>
      </c>
      <c r="Y53" s="25">
        <f>Y42*Assumptions!$H$95+Y46*Assumptions!$H$99</f>
        <v/>
      </c>
      <c r="Z53" s="25">
        <f>Z42*Assumptions!$H$95+Z46*Assumptions!$H$99</f>
        <v/>
      </c>
      <c r="AA53" s="25">
        <f>AA42*Assumptions!$H$95+AA46*Assumptions!$H$99</f>
        <v/>
      </c>
      <c r="AB53" s="25">
        <f>AB42*Assumptions!$H$95+AB46*Assumptions!$H$99</f>
        <v/>
      </c>
      <c r="AC53" s="25">
        <f>AC42*Assumptions!$H$95+AC46*Assumptions!$H$99</f>
        <v/>
      </c>
      <c r="AD53" s="25">
        <f>AD42*Assumptions!$H$95+AD46*Assumptions!$H$99</f>
        <v/>
      </c>
      <c r="AE53" s="25">
        <f>AE42*Assumptions!$H$95+AE46*Assumptions!$H$99</f>
        <v/>
      </c>
      <c r="AF53" s="25">
        <f>AF42*Assumptions!$H$95+AF46*Assumptions!$H$99</f>
        <v/>
      </c>
      <c r="AG53" s="25">
        <f>AG42*Assumptions!$H$95+AG46*Assumptions!$H$99</f>
        <v/>
      </c>
      <c r="AH53" s="25">
        <f>AH42*Assumptions!$H$95+AH46*Assumptions!$H$99</f>
        <v/>
      </c>
      <c r="AI53" s="25">
        <f>AI42*Assumptions!$H$95+AI46*Assumptions!$H$99</f>
        <v/>
      </c>
      <c r="AJ53" s="25">
        <f>AJ42*Assumptions!$H$95+AJ46*Assumptions!$H$99</f>
        <v/>
      </c>
      <c r="AK53" s="25">
        <f>AK42*Assumptions!$H$95+AK46*Assumptions!$H$99</f>
        <v/>
      </c>
      <c r="AL53" s="25">
        <f>AL42*Assumptions!$H$95+AL46*Assumptions!$H$99</f>
        <v/>
      </c>
      <c r="AM53" s="25">
        <f>AM42*Assumptions!$H$95+AM46*Assumptions!$H$99</f>
        <v/>
      </c>
      <c r="AN53" s="25">
        <f>AN42*Assumptions!$H$95+AN46*Assumptions!$H$99</f>
        <v/>
      </c>
      <c r="AO53" s="25">
        <f>AO42*Assumptions!$H$95+AO46*Assumptions!$H$99</f>
        <v/>
      </c>
      <c r="AP53" s="25">
        <f>AP42*Assumptions!$H$95+AP46*Assumptions!$H$99</f>
        <v/>
      </c>
      <c r="AQ53" s="25">
        <f>AQ42*Assumptions!$H$95+AQ46*Assumptions!$H$99</f>
        <v/>
      </c>
      <c r="AR53" s="25">
        <f>AR42*Assumptions!$H$95+AR46*Assumptions!$H$99</f>
        <v/>
      </c>
      <c r="AS53" s="25">
        <f>AS42*Assumptions!$H$95+AS46*Assumptions!$H$99</f>
        <v/>
      </c>
      <c r="AT53" s="25">
        <f>AT42*Assumptions!$H$95+AT46*Assumptions!$H$99</f>
        <v/>
      </c>
      <c r="AU53" s="25">
        <f>AU42*Assumptions!$H$95+AU46*Assumptions!$H$99</f>
        <v/>
      </c>
      <c r="AV53" s="25">
        <f>AV42*Assumptions!$H$95+AV46*Assumptions!$H$99</f>
        <v/>
      </c>
      <c r="AW53" s="25">
        <f>AW42*Assumptions!$H$95+AW46*Assumptions!$H$99</f>
        <v/>
      </c>
      <c r="AX53" s="25">
        <f>AX42*Assumptions!$H$95+AX46*Assumptions!$H$99</f>
        <v/>
      </c>
      <c r="AY53" s="25">
        <f>AY42*Assumptions!$H$95+AY46*Assumptions!$H$99</f>
        <v/>
      </c>
      <c r="AZ53" s="25">
        <f>AZ42*Assumptions!$H$95+AZ46*Assumptions!$H$99</f>
        <v/>
      </c>
      <c r="BA53" s="25">
        <f>BA42*Assumptions!$H$95+BA46*Assumptions!$H$99</f>
        <v/>
      </c>
      <c r="BB53" s="25">
        <f>BB42*Assumptions!$H$95+BB46*Assumptions!$H$99</f>
        <v/>
      </c>
      <c r="BC53" s="25">
        <f>BC42*Assumptions!$H$95+BC46*Assumptions!$H$99</f>
        <v/>
      </c>
      <c r="BD53" s="25">
        <f>BD42*Assumptions!$H$95+BD46*Assumptions!$H$99</f>
        <v/>
      </c>
      <c r="BE53" s="25">
        <f>BE42*Assumptions!$H$95+BE46*Assumptions!$H$99</f>
        <v/>
      </c>
      <c r="BF53" s="25">
        <f>BF42*Assumptions!$H$95+BF46*Assumptions!$H$99</f>
        <v/>
      </c>
      <c r="BG53" s="25">
        <f>BG42*Assumptions!$H$95+BG46*Assumptions!$H$99</f>
        <v/>
      </c>
      <c r="BH53" s="25">
        <f>BH42*Assumptions!$H$95+BH46*Assumptions!$H$99</f>
        <v/>
      </c>
      <c r="BI53" s="25">
        <f>BI42*Assumptions!$H$95+BI46*Assumptions!$H$99</f>
        <v/>
      </c>
      <c r="BJ53" s="25">
        <f>BJ42*Assumptions!$H$95+BJ46*Assumptions!$H$99</f>
        <v/>
      </c>
      <c r="BK53" s="25">
        <f>BK42*Assumptions!$H$95+BK46*Assumptions!$H$99</f>
        <v/>
      </c>
      <c r="BL53" s="25">
        <f>BL42*Assumptions!$H$95+BL46*Assumptions!$H$99</f>
        <v/>
      </c>
      <c r="BM53" s="25">
        <f>BM42*Assumptions!$H$95+BM46*Assumptions!$H$99</f>
        <v/>
      </c>
      <c r="BN53" s="25">
        <f>BN42*Assumptions!$H$95+BN46*Assumptions!$H$99</f>
        <v/>
      </c>
      <c r="BO53" s="25">
        <f>BO42*Assumptions!$H$95+BO46*Assumptions!$H$99</f>
        <v/>
      </c>
      <c r="BP53" s="25">
        <f>BP42*Assumptions!$H$95+BP46*Assumptions!$H$99</f>
        <v/>
      </c>
      <c r="BQ53" s="25">
        <f>BQ42*Assumptions!$H$95+BQ46*Assumptions!$H$99</f>
        <v/>
      </c>
      <c r="BR53" s="25">
        <f>BR42*Assumptions!$H$95+BR46*Assumptions!$H$99</f>
        <v/>
      </c>
      <c r="BS53" s="25">
        <f>BS42*Assumptions!$H$95+BS46*Assumptions!$H$99</f>
        <v/>
      </c>
      <c r="BT53" s="25">
        <f>BT42*Assumptions!$H$95+BT46*Assumptions!$H$99</f>
        <v/>
      </c>
      <c r="BU53" s="25">
        <f>BU42*Assumptions!$H$95+BU46*Assumptions!$H$99</f>
        <v/>
      </c>
      <c r="BV53" s="25">
        <f>BV42*Assumptions!$H$95+BV46*Assumptions!$H$99</f>
        <v/>
      </c>
      <c r="BW53" s="25">
        <f>BW42*Assumptions!$H$95+BW46*Assumptions!$H$99</f>
        <v/>
      </c>
      <c r="BX53" s="25">
        <f>BX42*Assumptions!$H$95+BX46*Assumptions!$H$99</f>
        <v/>
      </c>
      <c r="BY53" s="25">
        <f>BY42*Assumptions!$H$95+BY46*Assumptions!$H$99</f>
        <v/>
      </c>
      <c r="BZ53" s="25">
        <f>BZ42*Assumptions!$H$95+BZ46*Assumptions!$H$99</f>
        <v/>
      </c>
      <c r="CA53" s="25">
        <f>CA42*Assumptions!$H$95+CA46*Assumptions!$H$99</f>
        <v/>
      </c>
      <c r="CB53" s="25">
        <f>CB42*Assumptions!$H$95+CB46*Assumptions!$H$99</f>
        <v/>
      </c>
      <c r="CC53" s="25">
        <f>CC42*Assumptions!$H$95+CC46*Assumptions!$H$99</f>
        <v/>
      </c>
      <c r="CD53" s="25">
        <f>CD42*Assumptions!$H$95+CD46*Assumptions!$H$99</f>
        <v/>
      </c>
      <c r="CE53" s="25">
        <f>CE42*Assumptions!$H$95+CE46*Assumptions!$H$99</f>
        <v/>
      </c>
      <c r="CF53" s="25">
        <f>CF42*Assumptions!$H$95+CF46*Assumptions!$H$99</f>
        <v/>
      </c>
      <c r="CG53" s="25">
        <f>CG42*Assumptions!$H$95+CG46*Assumptions!$H$99</f>
        <v/>
      </c>
      <c r="CH53" s="25">
        <f>CH42*Assumptions!$H$95+CH46*Assumptions!$H$99</f>
        <v/>
      </c>
      <c r="CI53" s="25">
        <f>CI42*Assumptions!$H$95+CI46*Assumptions!$H$99</f>
        <v/>
      </c>
      <c r="CJ53" s="25">
        <f>CJ42*Assumptions!$H$95+CJ46*Assumptions!$H$99</f>
        <v/>
      </c>
      <c r="CK53" s="25">
        <f>CK42*Assumptions!$H$95+CK46*Assumptions!$H$99</f>
        <v/>
      </c>
      <c r="CL53" s="25">
        <f>CL42*Assumptions!$H$95+CL46*Assumptions!$H$99</f>
        <v/>
      </c>
      <c r="CM53" s="25">
        <f>CM42*Assumptions!$H$95+CM46*Assumptions!$H$99</f>
        <v/>
      </c>
      <c r="CN53" s="25">
        <f>CN42*Assumptions!$H$95+CN46*Assumptions!$H$99</f>
        <v/>
      </c>
      <c r="CO53" s="25">
        <f>CO42*Assumptions!$H$95+CO46*Assumptions!$H$99</f>
        <v/>
      </c>
      <c r="CP53" s="25">
        <f>CP42*Assumptions!$H$95+CP46*Assumptions!$H$99</f>
        <v/>
      </c>
      <c r="CQ53" s="25">
        <f>CQ42*Assumptions!$H$95+CQ46*Assumptions!$H$99</f>
        <v/>
      </c>
      <c r="CR53" s="25">
        <f>CR42*Assumptions!$H$95+CR46*Assumptions!$H$99</f>
        <v/>
      </c>
      <c r="CS53" s="25">
        <f>CS42*Assumptions!$H$95+CS46*Assumptions!$H$99</f>
        <v/>
      </c>
      <c r="CT53" s="25">
        <f>CT42*Assumptions!$H$95+CT46*Assumptions!$H$99</f>
        <v/>
      </c>
      <c r="CU53" s="25">
        <f>CU42*Assumptions!$H$95+CU46*Assumptions!$H$99</f>
        <v/>
      </c>
      <c r="CV53" s="25">
        <f>CV42*Assumptions!$H$95+CV46*Assumptions!$H$99</f>
        <v/>
      </c>
      <c r="CW53" s="25">
        <f>CW42*Assumptions!$H$95+CW46*Assumptions!$H$99</f>
        <v/>
      </c>
      <c r="CX53" s="25">
        <f>CX42*Assumptions!$H$95+CX46*Assumptions!$H$99</f>
        <v/>
      </c>
      <c r="CY53" s="25">
        <f>CY42*Assumptions!$H$95+CY46*Assumptions!$H$99</f>
        <v/>
      </c>
      <c r="CZ53" s="25">
        <f>CZ42*Assumptions!$H$95+CZ46*Assumptions!$H$99</f>
        <v/>
      </c>
      <c r="DA53" s="25">
        <f>DA42*Assumptions!$H$95+DA46*Assumptions!$H$99</f>
        <v/>
      </c>
      <c r="DB53" s="25">
        <f>DB42*Assumptions!$H$95+DB46*Assumptions!$H$99</f>
        <v/>
      </c>
      <c r="DC53" s="25">
        <f>DC42*Assumptions!$H$95+DC46*Assumptions!$H$99</f>
        <v/>
      </c>
      <c r="DD53" s="25">
        <f>DD42*Assumptions!$H$95+DD46*Assumptions!$H$99</f>
        <v/>
      </c>
      <c r="DE53" s="25">
        <f>DE42*Assumptions!$H$95+DE46*Assumptions!$H$99</f>
        <v/>
      </c>
      <c r="DF53" s="25">
        <f>DF42*Assumptions!$H$95+DF46*Assumptions!$H$99</f>
        <v/>
      </c>
      <c r="DG53" s="25">
        <f>DG42*Assumptions!$H$95+DG46*Assumptions!$H$99</f>
        <v/>
      </c>
      <c r="DH53" s="25">
        <f>DH42*Assumptions!$H$95+DH46*Assumptions!$H$99</f>
        <v/>
      </c>
      <c r="DI53" s="25">
        <f>DI42*Assumptions!$H$95+DI46*Assumptions!$H$99</f>
        <v/>
      </c>
      <c r="DJ53" s="25">
        <f>DJ42*Assumptions!$H$95+DJ46*Assumptions!$H$99</f>
        <v/>
      </c>
      <c r="DK53" s="25">
        <f>DK42*Assumptions!$H$95+DK46*Assumptions!$H$99</f>
        <v/>
      </c>
      <c r="DL53" s="25">
        <f>DL42*Assumptions!$H$95+DL46*Assumptions!$H$99</f>
        <v/>
      </c>
      <c r="DM53" s="25">
        <f>DM42*Assumptions!$H$95+DM46*Assumptions!$H$99</f>
        <v/>
      </c>
      <c r="DN53" s="25">
        <f>DN42*Assumptions!$H$95+DN46*Assumptions!$H$99</f>
        <v/>
      </c>
      <c r="DO53" s="25">
        <f>DO42*Assumptions!$H$95+DO46*Assumptions!$H$99</f>
        <v/>
      </c>
      <c r="DP53" s="25">
        <f>DP42*Assumptions!$H$95+DP46*Assumptions!$H$99</f>
        <v/>
      </c>
      <c r="DQ53" s="25">
        <f>DQ42*Assumptions!$H$95+DQ46*Assumptions!$H$99</f>
        <v/>
      </c>
      <c r="DR53" s="25">
        <f>DR42*Assumptions!$H$95+DR46*Assumptions!$H$99</f>
        <v/>
      </c>
      <c r="DS53" s="25">
        <f>DS42*Assumptions!$H$95+DS46*Assumptions!$H$99</f>
        <v/>
      </c>
    </row>
    <row r="54">
      <c r="A54" s="2" t="inlineStr">
        <is>
          <t>SH_DEMAND</t>
        </is>
      </c>
      <c r="B54" s="6" t="inlineStr">
        <is>
          <t>Feed demand</t>
        </is>
      </c>
      <c r="C54" s="2" t="inlineStr">
        <is>
          <t>kg DM</t>
        </is>
      </c>
      <c r="D54" s="25">
        <f>((D42+D46)*Assumptions!$H$107+D44*Assumptions!$H$111)*30.42</f>
        <v/>
      </c>
      <c r="E54" s="25">
        <f>((E42+E46)*Assumptions!$H$107+E44*Assumptions!$H$111)*30.42</f>
        <v/>
      </c>
      <c r="F54" s="25">
        <f>((F42+F46)*Assumptions!$H$107+F44*Assumptions!$H$111)*30.42</f>
        <v/>
      </c>
      <c r="G54" s="25">
        <f>((G42+G46)*Assumptions!$H$107+G44*Assumptions!$H$111)*30.42</f>
        <v/>
      </c>
      <c r="H54" s="25">
        <f>((H42+H46)*Assumptions!$H$107+H44*Assumptions!$H$111)*30.42</f>
        <v/>
      </c>
      <c r="I54" s="25">
        <f>((I42+I46)*Assumptions!$H$107+I44*Assumptions!$H$111)*30.42</f>
        <v/>
      </c>
      <c r="J54" s="25">
        <f>((J42+J46)*Assumptions!$H$107+J44*Assumptions!$H$111)*30.42</f>
        <v/>
      </c>
      <c r="K54" s="25">
        <f>((K42+K46)*Assumptions!$H$107+K44*Assumptions!$H$111)*30.42</f>
        <v/>
      </c>
      <c r="L54" s="25">
        <f>((L42+L46)*Assumptions!$H$107+L44*Assumptions!$H$111)*30.42</f>
        <v/>
      </c>
      <c r="M54" s="25">
        <f>((M42+M46)*Assumptions!$H$107+M44*Assumptions!$H$111)*30.42</f>
        <v/>
      </c>
      <c r="N54" s="25">
        <f>((N42+N46)*Assumptions!$H$107+N44*Assumptions!$H$111)*30.42</f>
        <v/>
      </c>
      <c r="O54" s="25">
        <f>((O42+O46)*Assumptions!$H$107+O44*Assumptions!$H$111)*30.42</f>
        <v/>
      </c>
      <c r="P54" s="25">
        <f>((P42+P46)*Assumptions!$H$107+P44*Assumptions!$H$111)*30.42</f>
        <v/>
      </c>
      <c r="Q54" s="25">
        <f>((Q42+Q46)*Assumptions!$H$107+Q44*Assumptions!$H$111)*30.42</f>
        <v/>
      </c>
      <c r="R54" s="25">
        <f>((R42+R46)*Assumptions!$H$107+R44*Assumptions!$H$111)*30.42</f>
        <v/>
      </c>
      <c r="S54" s="25">
        <f>((S42+S46)*Assumptions!$H$107+S44*Assumptions!$H$111)*30.42</f>
        <v/>
      </c>
      <c r="T54" s="25">
        <f>((T42+T46)*Assumptions!$H$107+T44*Assumptions!$H$111)*30.42</f>
        <v/>
      </c>
      <c r="U54" s="25">
        <f>((U42+U46)*Assumptions!$H$107+U44*Assumptions!$H$111)*30.42</f>
        <v/>
      </c>
      <c r="V54" s="25">
        <f>((V42+V46)*Assumptions!$H$107+V44*Assumptions!$H$111)*30.42</f>
        <v/>
      </c>
      <c r="W54" s="25">
        <f>((W42+W46)*Assumptions!$H$107+W44*Assumptions!$H$111)*30.42</f>
        <v/>
      </c>
      <c r="X54" s="25">
        <f>((X42+X46)*Assumptions!$H$107+X44*Assumptions!$H$111)*30.42</f>
        <v/>
      </c>
      <c r="Y54" s="25">
        <f>((Y42+Y46)*Assumptions!$H$107+Y44*Assumptions!$H$111)*30.42</f>
        <v/>
      </c>
      <c r="Z54" s="25">
        <f>((Z42+Z46)*Assumptions!$H$107+Z44*Assumptions!$H$111)*30.42</f>
        <v/>
      </c>
      <c r="AA54" s="25">
        <f>((AA42+AA46)*Assumptions!$H$107+AA44*Assumptions!$H$111)*30.42</f>
        <v/>
      </c>
      <c r="AB54" s="25">
        <f>((AB42+AB46)*Assumptions!$H$107+AB44*Assumptions!$H$111)*30.42</f>
        <v/>
      </c>
      <c r="AC54" s="25">
        <f>((AC42+AC46)*Assumptions!$H$107+AC44*Assumptions!$H$111)*30.42</f>
        <v/>
      </c>
      <c r="AD54" s="25">
        <f>((AD42+AD46)*Assumptions!$H$107+AD44*Assumptions!$H$111)*30.42</f>
        <v/>
      </c>
      <c r="AE54" s="25">
        <f>((AE42+AE46)*Assumptions!$H$107+AE44*Assumptions!$H$111)*30.42</f>
        <v/>
      </c>
      <c r="AF54" s="25">
        <f>((AF42+AF46)*Assumptions!$H$107+AF44*Assumptions!$H$111)*30.42</f>
        <v/>
      </c>
      <c r="AG54" s="25">
        <f>((AG42+AG46)*Assumptions!$H$107+AG44*Assumptions!$H$111)*30.42</f>
        <v/>
      </c>
      <c r="AH54" s="25">
        <f>((AH42+AH46)*Assumptions!$H$107+AH44*Assumptions!$H$111)*30.42</f>
        <v/>
      </c>
      <c r="AI54" s="25">
        <f>((AI42+AI46)*Assumptions!$H$107+AI44*Assumptions!$H$111)*30.42</f>
        <v/>
      </c>
      <c r="AJ54" s="25">
        <f>((AJ42+AJ46)*Assumptions!$H$107+AJ44*Assumptions!$H$111)*30.42</f>
        <v/>
      </c>
      <c r="AK54" s="25">
        <f>((AK42+AK46)*Assumptions!$H$107+AK44*Assumptions!$H$111)*30.42</f>
        <v/>
      </c>
      <c r="AL54" s="25">
        <f>((AL42+AL46)*Assumptions!$H$107+AL44*Assumptions!$H$111)*30.42</f>
        <v/>
      </c>
      <c r="AM54" s="25">
        <f>((AM42+AM46)*Assumptions!$H$107+AM44*Assumptions!$H$111)*30.42</f>
        <v/>
      </c>
      <c r="AN54" s="25">
        <f>((AN42+AN46)*Assumptions!$H$107+AN44*Assumptions!$H$111)*30.42</f>
        <v/>
      </c>
      <c r="AO54" s="25">
        <f>((AO42+AO46)*Assumptions!$H$107+AO44*Assumptions!$H$111)*30.42</f>
        <v/>
      </c>
      <c r="AP54" s="25">
        <f>((AP42+AP46)*Assumptions!$H$107+AP44*Assumptions!$H$111)*30.42</f>
        <v/>
      </c>
      <c r="AQ54" s="25">
        <f>((AQ42+AQ46)*Assumptions!$H$107+AQ44*Assumptions!$H$111)*30.42</f>
        <v/>
      </c>
      <c r="AR54" s="25">
        <f>((AR42+AR46)*Assumptions!$H$107+AR44*Assumptions!$H$111)*30.42</f>
        <v/>
      </c>
      <c r="AS54" s="25">
        <f>((AS42+AS46)*Assumptions!$H$107+AS44*Assumptions!$H$111)*30.42</f>
        <v/>
      </c>
      <c r="AT54" s="25">
        <f>((AT42+AT46)*Assumptions!$H$107+AT44*Assumptions!$H$111)*30.42</f>
        <v/>
      </c>
      <c r="AU54" s="25">
        <f>((AU42+AU46)*Assumptions!$H$107+AU44*Assumptions!$H$111)*30.42</f>
        <v/>
      </c>
      <c r="AV54" s="25">
        <f>((AV42+AV46)*Assumptions!$H$107+AV44*Assumptions!$H$111)*30.42</f>
        <v/>
      </c>
      <c r="AW54" s="25">
        <f>((AW42+AW46)*Assumptions!$H$107+AW44*Assumptions!$H$111)*30.42</f>
        <v/>
      </c>
      <c r="AX54" s="25">
        <f>((AX42+AX46)*Assumptions!$H$107+AX44*Assumptions!$H$111)*30.42</f>
        <v/>
      </c>
      <c r="AY54" s="25">
        <f>((AY42+AY46)*Assumptions!$H$107+AY44*Assumptions!$H$111)*30.42</f>
        <v/>
      </c>
      <c r="AZ54" s="25">
        <f>((AZ42+AZ46)*Assumptions!$H$107+AZ44*Assumptions!$H$111)*30.42</f>
        <v/>
      </c>
      <c r="BA54" s="25">
        <f>((BA42+BA46)*Assumptions!$H$107+BA44*Assumptions!$H$111)*30.42</f>
        <v/>
      </c>
      <c r="BB54" s="25">
        <f>((BB42+BB46)*Assumptions!$H$107+BB44*Assumptions!$H$111)*30.42</f>
        <v/>
      </c>
      <c r="BC54" s="25">
        <f>((BC42+BC46)*Assumptions!$H$107+BC44*Assumptions!$H$111)*30.42</f>
        <v/>
      </c>
      <c r="BD54" s="25">
        <f>((BD42+BD46)*Assumptions!$H$107+BD44*Assumptions!$H$111)*30.42</f>
        <v/>
      </c>
      <c r="BE54" s="25">
        <f>((BE42+BE46)*Assumptions!$H$107+BE44*Assumptions!$H$111)*30.42</f>
        <v/>
      </c>
      <c r="BF54" s="25">
        <f>((BF42+BF46)*Assumptions!$H$107+BF44*Assumptions!$H$111)*30.42</f>
        <v/>
      </c>
      <c r="BG54" s="25">
        <f>((BG42+BG46)*Assumptions!$H$107+BG44*Assumptions!$H$111)*30.42</f>
        <v/>
      </c>
      <c r="BH54" s="25">
        <f>((BH42+BH46)*Assumptions!$H$107+BH44*Assumptions!$H$111)*30.42</f>
        <v/>
      </c>
      <c r="BI54" s="25">
        <f>((BI42+BI46)*Assumptions!$H$107+BI44*Assumptions!$H$111)*30.42</f>
        <v/>
      </c>
      <c r="BJ54" s="25">
        <f>((BJ42+BJ46)*Assumptions!$H$107+BJ44*Assumptions!$H$111)*30.42</f>
        <v/>
      </c>
      <c r="BK54" s="25">
        <f>((BK42+BK46)*Assumptions!$H$107+BK44*Assumptions!$H$111)*30.42</f>
        <v/>
      </c>
      <c r="BL54" s="25">
        <f>((BL42+BL46)*Assumptions!$H$107+BL44*Assumptions!$H$111)*30.42</f>
        <v/>
      </c>
      <c r="BM54" s="25">
        <f>((BM42+BM46)*Assumptions!$H$107+BM44*Assumptions!$H$111)*30.42</f>
        <v/>
      </c>
      <c r="BN54" s="25">
        <f>((BN42+BN46)*Assumptions!$H$107+BN44*Assumptions!$H$111)*30.42</f>
        <v/>
      </c>
      <c r="BO54" s="25">
        <f>((BO42+BO46)*Assumptions!$H$107+BO44*Assumptions!$H$111)*30.42</f>
        <v/>
      </c>
      <c r="BP54" s="25">
        <f>((BP42+BP46)*Assumptions!$H$107+BP44*Assumptions!$H$111)*30.42</f>
        <v/>
      </c>
      <c r="BQ54" s="25">
        <f>((BQ42+BQ46)*Assumptions!$H$107+BQ44*Assumptions!$H$111)*30.42</f>
        <v/>
      </c>
      <c r="BR54" s="25">
        <f>((BR42+BR46)*Assumptions!$H$107+BR44*Assumptions!$H$111)*30.42</f>
        <v/>
      </c>
      <c r="BS54" s="25">
        <f>((BS42+BS46)*Assumptions!$H$107+BS44*Assumptions!$H$111)*30.42</f>
        <v/>
      </c>
      <c r="BT54" s="25">
        <f>((BT42+BT46)*Assumptions!$H$107+BT44*Assumptions!$H$111)*30.42</f>
        <v/>
      </c>
      <c r="BU54" s="25">
        <f>((BU42+BU46)*Assumptions!$H$107+BU44*Assumptions!$H$111)*30.42</f>
        <v/>
      </c>
      <c r="BV54" s="25">
        <f>((BV42+BV46)*Assumptions!$H$107+BV44*Assumptions!$H$111)*30.42</f>
        <v/>
      </c>
      <c r="BW54" s="25">
        <f>((BW42+BW46)*Assumptions!$H$107+BW44*Assumptions!$H$111)*30.42</f>
        <v/>
      </c>
      <c r="BX54" s="25">
        <f>((BX42+BX46)*Assumptions!$H$107+BX44*Assumptions!$H$111)*30.42</f>
        <v/>
      </c>
      <c r="BY54" s="25">
        <f>((BY42+BY46)*Assumptions!$H$107+BY44*Assumptions!$H$111)*30.42</f>
        <v/>
      </c>
      <c r="BZ54" s="25">
        <f>((BZ42+BZ46)*Assumptions!$H$107+BZ44*Assumptions!$H$111)*30.42</f>
        <v/>
      </c>
      <c r="CA54" s="25">
        <f>((CA42+CA46)*Assumptions!$H$107+CA44*Assumptions!$H$111)*30.42</f>
        <v/>
      </c>
      <c r="CB54" s="25">
        <f>((CB42+CB46)*Assumptions!$H$107+CB44*Assumptions!$H$111)*30.42</f>
        <v/>
      </c>
      <c r="CC54" s="25">
        <f>((CC42+CC46)*Assumptions!$H$107+CC44*Assumptions!$H$111)*30.42</f>
        <v/>
      </c>
      <c r="CD54" s="25">
        <f>((CD42+CD46)*Assumptions!$H$107+CD44*Assumptions!$H$111)*30.42</f>
        <v/>
      </c>
      <c r="CE54" s="25">
        <f>((CE42+CE46)*Assumptions!$H$107+CE44*Assumptions!$H$111)*30.42</f>
        <v/>
      </c>
      <c r="CF54" s="25">
        <f>((CF42+CF46)*Assumptions!$H$107+CF44*Assumptions!$H$111)*30.42</f>
        <v/>
      </c>
      <c r="CG54" s="25">
        <f>((CG42+CG46)*Assumptions!$H$107+CG44*Assumptions!$H$111)*30.42</f>
        <v/>
      </c>
      <c r="CH54" s="25">
        <f>((CH42+CH46)*Assumptions!$H$107+CH44*Assumptions!$H$111)*30.42</f>
        <v/>
      </c>
      <c r="CI54" s="25">
        <f>((CI42+CI46)*Assumptions!$H$107+CI44*Assumptions!$H$111)*30.42</f>
        <v/>
      </c>
      <c r="CJ54" s="25">
        <f>((CJ42+CJ46)*Assumptions!$H$107+CJ44*Assumptions!$H$111)*30.42</f>
        <v/>
      </c>
      <c r="CK54" s="25">
        <f>((CK42+CK46)*Assumptions!$H$107+CK44*Assumptions!$H$111)*30.42</f>
        <v/>
      </c>
      <c r="CL54" s="25">
        <f>((CL42+CL46)*Assumptions!$H$107+CL44*Assumptions!$H$111)*30.42</f>
        <v/>
      </c>
      <c r="CM54" s="25">
        <f>((CM42+CM46)*Assumptions!$H$107+CM44*Assumptions!$H$111)*30.42</f>
        <v/>
      </c>
      <c r="CN54" s="25">
        <f>((CN42+CN46)*Assumptions!$H$107+CN44*Assumptions!$H$111)*30.42</f>
        <v/>
      </c>
      <c r="CO54" s="25">
        <f>((CO42+CO46)*Assumptions!$H$107+CO44*Assumptions!$H$111)*30.42</f>
        <v/>
      </c>
      <c r="CP54" s="25">
        <f>((CP42+CP46)*Assumptions!$H$107+CP44*Assumptions!$H$111)*30.42</f>
        <v/>
      </c>
      <c r="CQ54" s="25">
        <f>((CQ42+CQ46)*Assumptions!$H$107+CQ44*Assumptions!$H$111)*30.42</f>
        <v/>
      </c>
      <c r="CR54" s="25">
        <f>((CR42+CR46)*Assumptions!$H$107+CR44*Assumptions!$H$111)*30.42</f>
        <v/>
      </c>
      <c r="CS54" s="25">
        <f>((CS42+CS46)*Assumptions!$H$107+CS44*Assumptions!$H$111)*30.42</f>
        <v/>
      </c>
      <c r="CT54" s="25">
        <f>((CT42+CT46)*Assumptions!$H$107+CT44*Assumptions!$H$111)*30.42</f>
        <v/>
      </c>
      <c r="CU54" s="25">
        <f>((CU42+CU46)*Assumptions!$H$107+CU44*Assumptions!$H$111)*30.42</f>
        <v/>
      </c>
      <c r="CV54" s="25">
        <f>((CV42+CV46)*Assumptions!$H$107+CV44*Assumptions!$H$111)*30.42</f>
        <v/>
      </c>
      <c r="CW54" s="25">
        <f>((CW42+CW46)*Assumptions!$H$107+CW44*Assumptions!$H$111)*30.42</f>
        <v/>
      </c>
      <c r="CX54" s="25">
        <f>((CX42+CX46)*Assumptions!$H$107+CX44*Assumptions!$H$111)*30.42</f>
        <v/>
      </c>
      <c r="CY54" s="25">
        <f>((CY42+CY46)*Assumptions!$H$107+CY44*Assumptions!$H$111)*30.42</f>
        <v/>
      </c>
      <c r="CZ54" s="25">
        <f>((CZ42+CZ46)*Assumptions!$H$107+CZ44*Assumptions!$H$111)*30.42</f>
        <v/>
      </c>
      <c r="DA54" s="25">
        <f>((DA42+DA46)*Assumptions!$H$107+DA44*Assumptions!$H$111)*30.42</f>
        <v/>
      </c>
      <c r="DB54" s="25">
        <f>((DB42+DB46)*Assumptions!$H$107+DB44*Assumptions!$H$111)*30.42</f>
        <v/>
      </c>
      <c r="DC54" s="25">
        <f>((DC42+DC46)*Assumptions!$H$107+DC44*Assumptions!$H$111)*30.42</f>
        <v/>
      </c>
      <c r="DD54" s="25">
        <f>((DD42+DD46)*Assumptions!$H$107+DD44*Assumptions!$H$111)*30.42</f>
        <v/>
      </c>
      <c r="DE54" s="25">
        <f>((DE42+DE46)*Assumptions!$H$107+DE44*Assumptions!$H$111)*30.42</f>
        <v/>
      </c>
      <c r="DF54" s="25">
        <f>((DF42+DF46)*Assumptions!$H$107+DF44*Assumptions!$H$111)*30.42</f>
        <v/>
      </c>
      <c r="DG54" s="25">
        <f>((DG42+DG46)*Assumptions!$H$107+DG44*Assumptions!$H$111)*30.42</f>
        <v/>
      </c>
      <c r="DH54" s="25">
        <f>((DH42+DH46)*Assumptions!$H$107+DH44*Assumptions!$H$111)*30.42</f>
        <v/>
      </c>
      <c r="DI54" s="25">
        <f>((DI42+DI46)*Assumptions!$H$107+DI44*Assumptions!$H$111)*30.42</f>
        <v/>
      </c>
      <c r="DJ54" s="25">
        <f>((DJ42+DJ46)*Assumptions!$H$107+DJ44*Assumptions!$H$111)*30.42</f>
        <v/>
      </c>
      <c r="DK54" s="25">
        <f>((DK42+DK46)*Assumptions!$H$107+DK44*Assumptions!$H$111)*30.42</f>
        <v/>
      </c>
      <c r="DL54" s="25">
        <f>((DL42+DL46)*Assumptions!$H$107+DL44*Assumptions!$H$111)*30.42</f>
        <v/>
      </c>
      <c r="DM54" s="25">
        <f>((DM42+DM46)*Assumptions!$H$107+DM44*Assumptions!$H$111)*30.42</f>
        <v/>
      </c>
      <c r="DN54" s="25">
        <f>((DN42+DN46)*Assumptions!$H$107+DN44*Assumptions!$H$111)*30.42</f>
        <v/>
      </c>
      <c r="DO54" s="25">
        <f>((DO42+DO46)*Assumptions!$H$107+DO44*Assumptions!$H$111)*30.42</f>
        <v/>
      </c>
      <c r="DP54" s="25">
        <f>((DP42+DP46)*Assumptions!$H$107+DP44*Assumptions!$H$111)*30.42</f>
        <v/>
      </c>
      <c r="DQ54" s="25">
        <f>((DQ42+DQ46)*Assumptions!$H$107+DQ44*Assumptions!$H$111)*30.42</f>
        <v/>
      </c>
      <c r="DR54" s="25">
        <f>((DR42+DR46)*Assumptions!$H$107+DR44*Assumptions!$H$111)*30.42</f>
        <v/>
      </c>
      <c r="DS54" s="25">
        <f>((DS42+DS46)*Assumptions!$H$107+DS44*Assumptions!$H$111)*30.42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S19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</cols>
  <sheetData>
    <row r="1">
      <c r="A1" s="1" t="inlineStr">
        <is>
          <t>Feed</t>
        </is>
      </c>
    </row>
    <row r="2">
      <c r="A2" s="2" t="inlineStr">
        <is>
          <t>Monthly dry-matter balance: forage grown, conserved and bought.</t>
        </is>
      </c>
    </row>
    <row r="3">
      <c r="B3" s="3" t="inlineStr">
        <is>
          <t>Month</t>
        </is>
      </c>
      <c r="D3" s="32" t="n">
        <v>1</v>
      </c>
      <c r="E3" s="32" t="n">
        <v>2</v>
      </c>
      <c r="F3" s="32" t="n">
        <v>3</v>
      </c>
      <c r="G3" s="32" t="n">
        <v>4</v>
      </c>
      <c r="H3" s="32" t="n">
        <v>5</v>
      </c>
      <c r="I3" s="32" t="n">
        <v>6</v>
      </c>
      <c r="J3" s="32" t="n">
        <v>7</v>
      </c>
      <c r="K3" s="32" t="n">
        <v>8</v>
      </c>
      <c r="L3" s="32" t="n">
        <v>9</v>
      </c>
      <c r="M3" s="32" t="n">
        <v>10</v>
      </c>
      <c r="N3" s="32" t="n">
        <v>11</v>
      </c>
      <c r="O3" s="32" t="n">
        <v>12</v>
      </c>
      <c r="P3" s="32" t="n">
        <v>13</v>
      </c>
      <c r="Q3" s="32" t="n">
        <v>14</v>
      </c>
      <c r="R3" s="32" t="n">
        <v>15</v>
      </c>
      <c r="S3" s="32" t="n">
        <v>16</v>
      </c>
      <c r="T3" s="32" t="n">
        <v>17</v>
      </c>
      <c r="U3" s="32" t="n">
        <v>18</v>
      </c>
      <c r="V3" s="32" t="n">
        <v>19</v>
      </c>
      <c r="W3" s="32" t="n">
        <v>20</v>
      </c>
      <c r="X3" s="32" t="n">
        <v>21</v>
      </c>
      <c r="Y3" s="32" t="n">
        <v>22</v>
      </c>
      <c r="Z3" s="32" t="n">
        <v>23</v>
      </c>
      <c r="AA3" s="32" t="n">
        <v>24</v>
      </c>
      <c r="AB3" s="32" t="n">
        <v>25</v>
      </c>
      <c r="AC3" s="32" t="n">
        <v>26</v>
      </c>
      <c r="AD3" s="32" t="n">
        <v>27</v>
      </c>
      <c r="AE3" s="32" t="n">
        <v>28</v>
      </c>
      <c r="AF3" s="32" t="n">
        <v>29</v>
      </c>
      <c r="AG3" s="32" t="n">
        <v>30</v>
      </c>
      <c r="AH3" s="32" t="n">
        <v>31</v>
      </c>
      <c r="AI3" s="32" t="n">
        <v>32</v>
      </c>
      <c r="AJ3" s="32" t="n">
        <v>33</v>
      </c>
      <c r="AK3" s="32" t="n">
        <v>34</v>
      </c>
      <c r="AL3" s="32" t="n">
        <v>35</v>
      </c>
      <c r="AM3" s="32" t="n">
        <v>36</v>
      </c>
      <c r="AN3" s="32" t="n">
        <v>37</v>
      </c>
      <c r="AO3" s="32" t="n">
        <v>38</v>
      </c>
      <c r="AP3" s="32" t="n">
        <v>39</v>
      </c>
      <c r="AQ3" s="32" t="n">
        <v>40</v>
      </c>
      <c r="AR3" s="32" t="n">
        <v>41</v>
      </c>
      <c r="AS3" s="32" t="n">
        <v>42</v>
      </c>
      <c r="AT3" s="32" t="n">
        <v>43</v>
      </c>
      <c r="AU3" s="32" t="n">
        <v>44</v>
      </c>
      <c r="AV3" s="32" t="n">
        <v>45</v>
      </c>
      <c r="AW3" s="32" t="n">
        <v>46</v>
      </c>
      <c r="AX3" s="32" t="n">
        <v>47</v>
      </c>
      <c r="AY3" s="32" t="n">
        <v>48</v>
      </c>
      <c r="AZ3" s="32" t="n">
        <v>49</v>
      </c>
      <c r="BA3" s="32" t="n">
        <v>50</v>
      </c>
      <c r="BB3" s="32" t="n">
        <v>51</v>
      </c>
      <c r="BC3" s="32" t="n">
        <v>52</v>
      </c>
      <c r="BD3" s="32" t="n">
        <v>53</v>
      </c>
      <c r="BE3" s="32" t="n">
        <v>54</v>
      </c>
      <c r="BF3" s="32" t="n">
        <v>55</v>
      </c>
      <c r="BG3" s="32" t="n">
        <v>56</v>
      </c>
      <c r="BH3" s="32" t="n">
        <v>57</v>
      </c>
      <c r="BI3" s="32" t="n">
        <v>58</v>
      </c>
      <c r="BJ3" s="32" t="n">
        <v>59</v>
      </c>
      <c r="BK3" s="32" t="n">
        <v>60</v>
      </c>
      <c r="BL3" s="32" t="n">
        <v>61</v>
      </c>
      <c r="BM3" s="32" t="n">
        <v>62</v>
      </c>
      <c r="BN3" s="32" t="n">
        <v>63</v>
      </c>
      <c r="BO3" s="32" t="n">
        <v>64</v>
      </c>
      <c r="BP3" s="32" t="n">
        <v>65</v>
      </c>
      <c r="BQ3" s="32" t="n">
        <v>66</v>
      </c>
      <c r="BR3" s="32" t="n">
        <v>67</v>
      </c>
      <c r="BS3" s="32" t="n">
        <v>68</v>
      </c>
      <c r="BT3" s="32" t="n">
        <v>69</v>
      </c>
      <c r="BU3" s="32" t="n">
        <v>70</v>
      </c>
      <c r="BV3" s="32" t="n">
        <v>71</v>
      </c>
      <c r="BW3" s="32" t="n">
        <v>72</v>
      </c>
      <c r="BX3" s="32" t="n">
        <v>73</v>
      </c>
      <c r="BY3" s="32" t="n">
        <v>74</v>
      </c>
      <c r="BZ3" s="32" t="n">
        <v>75</v>
      </c>
      <c r="CA3" s="32" t="n">
        <v>76</v>
      </c>
      <c r="CB3" s="32" t="n">
        <v>77</v>
      </c>
      <c r="CC3" s="32" t="n">
        <v>78</v>
      </c>
      <c r="CD3" s="32" t="n">
        <v>79</v>
      </c>
      <c r="CE3" s="32" t="n">
        <v>80</v>
      </c>
      <c r="CF3" s="32" t="n">
        <v>81</v>
      </c>
      <c r="CG3" s="32" t="n">
        <v>82</v>
      </c>
      <c r="CH3" s="32" t="n">
        <v>83</v>
      </c>
      <c r="CI3" s="32" t="n">
        <v>84</v>
      </c>
      <c r="CJ3" s="32" t="n">
        <v>85</v>
      </c>
      <c r="CK3" s="32" t="n">
        <v>86</v>
      </c>
      <c r="CL3" s="32" t="n">
        <v>87</v>
      </c>
      <c r="CM3" s="32" t="n">
        <v>88</v>
      </c>
      <c r="CN3" s="32" t="n">
        <v>89</v>
      </c>
      <c r="CO3" s="32" t="n">
        <v>90</v>
      </c>
      <c r="CP3" s="32" t="n">
        <v>91</v>
      </c>
      <c r="CQ3" s="32" t="n">
        <v>92</v>
      </c>
      <c r="CR3" s="32" t="n">
        <v>93</v>
      </c>
      <c r="CS3" s="32" t="n">
        <v>94</v>
      </c>
      <c r="CT3" s="32" t="n">
        <v>95</v>
      </c>
      <c r="CU3" s="32" t="n">
        <v>96</v>
      </c>
      <c r="CV3" s="32" t="n">
        <v>97</v>
      </c>
      <c r="CW3" s="32" t="n">
        <v>98</v>
      </c>
      <c r="CX3" s="32" t="n">
        <v>99</v>
      </c>
      <c r="CY3" s="32" t="n">
        <v>100</v>
      </c>
      <c r="CZ3" s="32" t="n">
        <v>101</v>
      </c>
      <c r="DA3" s="32" t="n">
        <v>102</v>
      </c>
      <c r="DB3" s="32" t="n">
        <v>103</v>
      </c>
      <c r="DC3" s="32" t="n">
        <v>104</v>
      </c>
      <c r="DD3" s="32" t="n">
        <v>105</v>
      </c>
      <c r="DE3" s="32" t="n">
        <v>106</v>
      </c>
      <c r="DF3" s="32" t="n">
        <v>107</v>
      </c>
      <c r="DG3" s="32" t="n">
        <v>108</v>
      </c>
      <c r="DH3" s="32" t="n">
        <v>109</v>
      </c>
      <c r="DI3" s="32" t="n">
        <v>110</v>
      </c>
      <c r="DJ3" s="32" t="n">
        <v>111</v>
      </c>
      <c r="DK3" s="32" t="n">
        <v>112</v>
      </c>
      <c r="DL3" s="32" t="n">
        <v>113</v>
      </c>
      <c r="DM3" s="32" t="n">
        <v>114</v>
      </c>
      <c r="DN3" s="32" t="n">
        <v>115</v>
      </c>
      <c r="DO3" s="32" t="n">
        <v>116</v>
      </c>
      <c r="DP3" s="32" t="n">
        <v>117</v>
      </c>
      <c r="DQ3" s="32" t="n">
        <v>118</v>
      </c>
      <c r="DR3" s="32" t="n">
        <v>119</v>
      </c>
      <c r="DS3" s="32" t="n">
        <v>120</v>
      </c>
    </row>
    <row r="4">
      <c r="B4" s="3" t="inlineStr">
        <is>
          <t>Farm year</t>
        </is>
      </c>
      <c r="D4" s="33">
        <f>INT((D$3-1)/12)+1</f>
        <v/>
      </c>
      <c r="E4" s="33">
        <f>INT((E$3-1)/12)+1</f>
        <v/>
      </c>
      <c r="F4" s="33">
        <f>INT((F$3-1)/12)+1</f>
        <v/>
      </c>
      <c r="G4" s="33">
        <f>INT((G$3-1)/12)+1</f>
        <v/>
      </c>
      <c r="H4" s="33">
        <f>INT((H$3-1)/12)+1</f>
        <v/>
      </c>
      <c r="I4" s="33">
        <f>INT((I$3-1)/12)+1</f>
        <v/>
      </c>
      <c r="J4" s="33">
        <f>INT((J$3-1)/12)+1</f>
        <v/>
      </c>
      <c r="K4" s="33">
        <f>INT((K$3-1)/12)+1</f>
        <v/>
      </c>
      <c r="L4" s="33">
        <f>INT((L$3-1)/12)+1</f>
        <v/>
      </c>
      <c r="M4" s="33">
        <f>INT((M$3-1)/12)+1</f>
        <v/>
      </c>
      <c r="N4" s="33">
        <f>INT((N$3-1)/12)+1</f>
        <v/>
      </c>
      <c r="O4" s="33">
        <f>INT((O$3-1)/12)+1</f>
        <v/>
      </c>
      <c r="P4" s="33">
        <f>INT((P$3-1)/12)+1</f>
        <v/>
      </c>
      <c r="Q4" s="33">
        <f>INT((Q$3-1)/12)+1</f>
        <v/>
      </c>
      <c r="R4" s="33">
        <f>INT((R$3-1)/12)+1</f>
        <v/>
      </c>
      <c r="S4" s="33">
        <f>INT((S$3-1)/12)+1</f>
        <v/>
      </c>
      <c r="T4" s="33">
        <f>INT((T$3-1)/12)+1</f>
        <v/>
      </c>
      <c r="U4" s="33">
        <f>INT((U$3-1)/12)+1</f>
        <v/>
      </c>
      <c r="V4" s="33">
        <f>INT((V$3-1)/12)+1</f>
        <v/>
      </c>
      <c r="W4" s="33">
        <f>INT((W$3-1)/12)+1</f>
        <v/>
      </c>
      <c r="X4" s="33">
        <f>INT((X$3-1)/12)+1</f>
        <v/>
      </c>
      <c r="Y4" s="33">
        <f>INT((Y$3-1)/12)+1</f>
        <v/>
      </c>
      <c r="Z4" s="33">
        <f>INT((Z$3-1)/12)+1</f>
        <v/>
      </c>
      <c r="AA4" s="33">
        <f>INT((AA$3-1)/12)+1</f>
        <v/>
      </c>
      <c r="AB4" s="33">
        <f>INT((AB$3-1)/12)+1</f>
        <v/>
      </c>
      <c r="AC4" s="33">
        <f>INT((AC$3-1)/12)+1</f>
        <v/>
      </c>
      <c r="AD4" s="33">
        <f>INT((AD$3-1)/12)+1</f>
        <v/>
      </c>
      <c r="AE4" s="33">
        <f>INT((AE$3-1)/12)+1</f>
        <v/>
      </c>
      <c r="AF4" s="33">
        <f>INT((AF$3-1)/12)+1</f>
        <v/>
      </c>
      <c r="AG4" s="33">
        <f>INT((AG$3-1)/12)+1</f>
        <v/>
      </c>
      <c r="AH4" s="33">
        <f>INT((AH$3-1)/12)+1</f>
        <v/>
      </c>
      <c r="AI4" s="33">
        <f>INT((AI$3-1)/12)+1</f>
        <v/>
      </c>
      <c r="AJ4" s="33">
        <f>INT((AJ$3-1)/12)+1</f>
        <v/>
      </c>
      <c r="AK4" s="33">
        <f>INT((AK$3-1)/12)+1</f>
        <v/>
      </c>
      <c r="AL4" s="33">
        <f>INT((AL$3-1)/12)+1</f>
        <v/>
      </c>
      <c r="AM4" s="33">
        <f>INT((AM$3-1)/12)+1</f>
        <v/>
      </c>
      <c r="AN4" s="33">
        <f>INT((AN$3-1)/12)+1</f>
        <v/>
      </c>
      <c r="AO4" s="33">
        <f>INT((AO$3-1)/12)+1</f>
        <v/>
      </c>
      <c r="AP4" s="33">
        <f>INT((AP$3-1)/12)+1</f>
        <v/>
      </c>
      <c r="AQ4" s="33">
        <f>INT((AQ$3-1)/12)+1</f>
        <v/>
      </c>
      <c r="AR4" s="33">
        <f>INT((AR$3-1)/12)+1</f>
        <v/>
      </c>
      <c r="AS4" s="33">
        <f>INT((AS$3-1)/12)+1</f>
        <v/>
      </c>
      <c r="AT4" s="33">
        <f>INT((AT$3-1)/12)+1</f>
        <v/>
      </c>
      <c r="AU4" s="33">
        <f>INT((AU$3-1)/12)+1</f>
        <v/>
      </c>
      <c r="AV4" s="33">
        <f>INT((AV$3-1)/12)+1</f>
        <v/>
      </c>
      <c r="AW4" s="33">
        <f>INT((AW$3-1)/12)+1</f>
        <v/>
      </c>
      <c r="AX4" s="33">
        <f>INT((AX$3-1)/12)+1</f>
        <v/>
      </c>
      <c r="AY4" s="33">
        <f>INT((AY$3-1)/12)+1</f>
        <v/>
      </c>
      <c r="AZ4" s="33">
        <f>INT((AZ$3-1)/12)+1</f>
        <v/>
      </c>
      <c r="BA4" s="33">
        <f>INT((BA$3-1)/12)+1</f>
        <v/>
      </c>
      <c r="BB4" s="33">
        <f>INT((BB$3-1)/12)+1</f>
        <v/>
      </c>
      <c r="BC4" s="33">
        <f>INT((BC$3-1)/12)+1</f>
        <v/>
      </c>
      <c r="BD4" s="33">
        <f>INT((BD$3-1)/12)+1</f>
        <v/>
      </c>
      <c r="BE4" s="33">
        <f>INT((BE$3-1)/12)+1</f>
        <v/>
      </c>
      <c r="BF4" s="33">
        <f>INT((BF$3-1)/12)+1</f>
        <v/>
      </c>
      <c r="BG4" s="33">
        <f>INT((BG$3-1)/12)+1</f>
        <v/>
      </c>
      <c r="BH4" s="33">
        <f>INT((BH$3-1)/12)+1</f>
        <v/>
      </c>
      <c r="BI4" s="33">
        <f>INT((BI$3-1)/12)+1</f>
        <v/>
      </c>
      <c r="BJ4" s="33">
        <f>INT((BJ$3-1)/12)+1</f>
        <v/>
      </c>
      <c r="BK4" s="33">
        <f>INT((BK$3-1)/12)+1</f>
        <v/>
      </c>
      <c r="BL4" s="33">
        <f>INT((BL$3-1)/12)+1</f>
        <v/>
      </c>
      <c r="BM4" s="33">
        <f>INT((BM$3-1)/12)+1</f>
        <v/>
      </c>
      <c r="BN4" s="33">
        <f>INT((BN$3-1)/12)+1</f>
        <v/>
      </c>
      <c r="BO4" s="33">
        <f>INT((BO$3-1)/12)+1</f>
        <v/>
      </c>
      <c r="BP4" s="33">
        <f>INT((BP$3-1)/12)+1</f>
        <v/>
      </c>
      <c r="BQ4" s="33">
        <f>INT((BQ$3-1)/12)+1</f>
        <v/>
      </c>
      <c r="BR4" s="33">
        <f>INT((BR$3-1)/12)+1</f>
        <v/>
      </c>
      <c r="BS4" s="33">
        <f>INT((BS$3-1)/12)+1</f>
        <v/>
      </c>
      <c r="BT4" s="33">
        <f>INT((BT$3-1)/12)+1</f>
        <v/>
      </c>
      <c r="BU4" s="33">
        <f>INT((BU$3-1)/12)+1</f>
        <v/>
      </c>
      <c r="BV4" s="33">
        <f>INT((BV$3-1)/12)+1</f>
        <v/>
      </c>
      <c r="BW4" s="33">
        <f>INT((BW$3-1)/12)+1</f>
        <v/>
      </c>
      <c r="BX4" s="33">
        <f>INT((BX$3-1)/12)+1</f>
        <v/>
      </c>
      <c r="BY4" s="33">
        <f>INT((BY$3-1)/12)+1</f>
        <v/>
      </c>
      <c r="BZ4" s="33">
        <f>INT((BZ$3-1)/12)+1</f>
        <v/>
      </c>
      <c r="CA4" s="33">
        <f>INT((CA$3-1)/12)+1</f>
        <v/>
      </c>
      <c r="CB4" s="33">
        <f>INT((CB$3-1)/12)+1</f>
        <v/>
      </c>
      <c r="CC4" s="33">
        <f>INT((CC$3-1)/12)+1</f>
        <v/>
      </c>
      <c r="CD4" s="33">
        <f>INT((CD$3-1)/12)+1</f>
        <v/>
      </c>
      <c r="CE4" s="33">
        <f>INT((CE$3-1)/12)+1</f>
        <v/>
      </c>
      <c r="CF4" s="33">
        <f>INT((CF$3-1)/12)+1</f>
        <v/>
      </c>
      <c r="CG4" s="33">
        <f>INT((CG$3-1)/12)+1</f>
        <v/>
      </c>
      <c r="CH4" s="33">
        <f>INT((CH$3-1)/12)+1</f>
        <v/>
      </c>
      <c r="CI4" s="33">
        <f>INT((CI$3-1)/12)+1</f>
        <v/>
      </c>
      <c r="CJ4" s="33">
        <f>INT((CJ$3-1)/12)+1</f>
        <v/>
      </c>
      <c r="CK4" s="33">
        <f>INT((CK$3-1)/12)+1</f>
        <v/>
      </c>
      <c r="CL4" s="33">
        <f>INT((CL$3-1)/12)+1</f>
        <v/>
      </c>
      <c r="CM4" s="33">
        <f>INT((CM$3-1)/12)+1</f>
        <v/>
      </c>
      <c r="CN4" s="33">
        <f>INT((CN$3-1)/12)+1</f>
        <v/>
      </c>
      <c r="CO4" s="33">
        <f>INT((CO$3-1)/12)+1</f>
        <v/>
      </c>
      <c r="CP4" s="33">
        <f>INT((CP$3-1)/12)+1</f>
        <v/>
      </c>
      <c r="CQ4" s="33">
        <f>INT((CQ$3-1)/12)+1</f>
        <v/>
      </c>
      <c r="CR4" s="33">
        <f>INT((CR$3-1)/12)+1</f>
        <v/>
      </c>
      <c r="CS4" s="33">
        <f>INT((CS$3-1)/12)+1</f>
        <v/>
      </c>
      <c r="CT4" s="33">
        <f>INT((CT$3-1)/12)+1</f>
        <v/>
      </c>
      <c r="CU4" s="33">
        <f>INT((CU$3-1)/12)+1</f>
        <v/>
      </c>
      <c r="CV4" s="33">
        <f>INT((CV$3-1)/12)+1</f>
        <v/>
      </c>
      <c r="CW4" s="33">
        <f>INT((CW$3-1)/12)+1</f>
        <v/>
      </c>
      <c r="CX4" s="33">
        <f>INT((CX$3-1)/12)+1</f>
        <v/>
      </c>
      <c r="CY4" s="33">
        <f>INT((CY$3-1)/12)+1</f>
        <v/>
      </c>
      <c r="CZ4" s="33">
        <f>INT((CZ$3-1)/12)+1</f>
        <v/>
      </c>
      <c r="DA4" s="33">
        <f>INT((DA$3-1)/12)+1</f>
        <v/>
      </c>
      <c r="DB4" s="33">
        <f>INT((DB$3-1)/12)+1</f>
        <v/>
      </c>
      <c r="DC4" s="33">
        <f>INT((DC$3-1)/12)+1</f>
        <v/>
      </c>
      <c r="DD4" s="33">
        <f>INT((DD$3-1)/12)+1</f>
        <v/>
      </c>
      <c r="DE4" s="33">
        <f>INT((DE$3-1)/12)+1</f>
        <v/>
      </c>
      <c r="DF4" s="33">
        <f>INT((DF$3-1)/12)+1</f>
        <v/>
      </c>
      <c r="DG4" s="33">
        <f>INT((DG$3-1)/12)+1</f>
        <v/>
      </c>
      <c r="DH4" s="33">
        <f>INT((DH$3-1)/12)+1</f>
        <v/>
      </c>
      <c r="DI4" s="33">
        <f>INT((DI$3-1)/12)+1</f>
        <v/>
      </c>
      <c r="DJ4" s="33">
        <f>INT((DJ$3-1)/12)+1</f>
        <v/>
      </c>
      <c r="DK4" s="33">
        <f>INT((DK$3-1)/12)+1</f>
        <v/>
      </c>
      <c r="DL4" s="33">
        <f>INT((DL$3-1)/12)+1</f>
        <v/>
      </c>
      <c r="DM4" s="33">
        <f>INT((DM$3-1)/12)+1</f>
        <v/>
      </c>
      <c r="DN4" s="33">
        <f>INT((DN$3-1)/12)+1</f>
        <v/>
      </c>
      <c r="DO4" s="33">
        <f>INT((DO$3-1)/12)+1</f>
        <v/>
      </c>
      <c r="DP4" s="33">
        <f>INT((DP$3-1)/12)+1</f>
        <v/>
      </c>
      <c r="DQ4" s="33">
        <f>INT((DQ$3-1)/12)+1</f>
        <v/>
      </c>
      <c r="DR4" s="33">
        <f>INT((DR$3-1)/12)+1</f>
        <v/>
      </c>
      <c r="DS4" s="33">
        <f>INT((DS$3-1)/12)+1</f>
        <v/>
      </c>
    </row>
    <row r="5">
      <c r="B5" s="3" t="inlineStr">
        <is>
          <t>Calendar month</t>
        </is>
      </c>
      <c r="D5" s="28">
        <f>MOD(Control!$C$10+D$3-2,12)+1</f>
        <v/>
      </c>
      <c r="E5" s="28">
        <f>MOD(Control!$C$10+E$3-2,12)+1</f>
        <v/>
      </c>
      <c r="F5" s="28">
        <f>MOD(Control!$C$10+F$3-2,12)+1</f>
        <v/>
      </c>
      <c r="G5" s="28">
        <f>MOD(Control!$C$10+G$3-2,12)+1</f>
        <v/>
      </c>
      <c r="H5" s="28">
        <f>MOD(Control!$C$10+H$3-2,12)+1</f>
        <v/>
      </c>
      <c r="I5" s="28">
        <f>MOD(Control!$C$10+I$3-2,12)+1</f>
        <v/>
      </c>
      <c r="J5" s="28">
        <f>MOD(Control!$C$10+J$3-2,12)+1</f>
        <v/>
      </c>
      <c r="K5" s="28">
        <f>MOD(Control!$C$10+K$3-2,12)+1</f>
        <v/>
      </c>
      <c r="L5" s="28">
        <f>MOD(Control!$C$10+L$3-2,12)+1</f>
        <v/>
      </c>
      <c r="M5" s="28">
        <f>MOD(Control!$C$10+M$3-2,12)+1</f>
        <v/>
      </c>
      <c r="N5" s="28">
        <f>MOD(Control!$C$10+N$3-2,12)+1</f>
        <v/>
      </c>
      <c r="O5" s="28">
        <f>MOD(Control!$C$10+O$3-2,12)+1</f>
        <v/>
      </c>
      <c r="P5" s="28">
        <f>MOD(Control!$C$10+P$3-2,12)+1</f>
        <v/>
      </c>
      <c r="Q5" s="28">
        <f>MOD(Control!$C$10+Q$3-2,12)+1</f>
        <v/>
      </c>
      <c r="R5" s="28">
        <f>MOD(Control!$C$10+R$3-2,12)+1</f>
        <v/>
      </c>
      <c r="S5" s="28">
        <f>MOD(Control!$C$10+S$3-2,12)+1</f>
        <v/>
      </c>
      <c r="T5" s="28">
        <f>MOD(Control!$C$10+T$3-2,12)+1</f>
        <v/>
      </c>
      <c r="U5" s="28">
        <f>MOD(Control!$C$10+U$3-2,12)+1</f>
        <v/>
      </c>
      <c r="V5" s="28">
        <f>MOD(Control!$C$10+V$3-2,12)+1</f>
        <v/>
      </c>
      <c r="W5" s="28">
        <f>MOD(Control!$C$10+W$3-2,12)+1</f>
        <v/>
      </c>
      <c r="X5" s="28">
        <f>MOD(Control!$C$10+X$3-2,12)+1</f>
        <v/>
      </c>
      <c r="Y5" s="28">
        <f>MOD(Control!$C$10+Y$3-2,12)+1</f>
        <v/>
      </c>
      <c r="Z5" s="28">
        <f>MOD(Control!$C$10+Z$3-2,12)+1</f>
        <v/>
      </c>
      <c r="AA5" s="28">
        <f>MOD(Control!$C$10+AA$3-2,12)+1</f>
        <v/>
      </c>
      <c r="AB5" s="28">
        <f>MOD(Control!$C$10+AB$3-2,12)+1</f>
        <v/>
      </c>
      <c r="AC5" s="28">
        <f>MOD(Control!$C$10+AC$3-2,12)+1</f>
        <v/>
      </c>
      <c r="AD5" s="28">
        <f>MOD(Control!$C$10+AD$3-2,12)+1</f>
        <v/>
      </c>
      <c r="AE5" s="28">
        <f>MOD(Control!$C$10+AE$3-2,12)+1</f>
        <v/>
      </c>
      <c r="AF5" s="28">
        <f>MOD(Control!$C$10+AF$3-2,12)+1</f>
        <v/>
      </c>
      <c r="AG5" s="28">
        <f>MOD(Control!$C$10+AG$3-2,12)+1</f>
        <v/>
      </c>
      <c r="AH5" s="28">
        <f>MOD(Control!$C$10+AH$3-2,12)+1</f>
        <v/>
      </c>
      <c r="AI5" s="28">
        <f>MOD(Control!$C$10+AI$3-2,12)+1</f>
        <v/>
      </c>
      <c r="AJ5" s="28">
        <f>MOD(Control!$C$10+AJ$3-2,12)+1</f>
        <v/>
      </c>
      <c r="AK5" s="28">
        <f>MOD(Control!$C$10+AK$3-2,12)+1</f>
        <v/>
      </c>
      <c r="AL5" s="28">
        <f>MOD(Control!$C$10+AL$3-2,12)+1</f>
        <v/>
      </c>
      <c r="AM5" s="28">
        <f>MOD(Control!$C$10+AM$3-2,12)+1</f>
        <v/>
      </c>
      <c r="AN5" s="28">
        <f>MOD(Control!$C$10+AN$3-2,12)+1</f>
        <v/>
      </c>
      <c r="AO5" s="28">
        <f>MOD(Control!$C$10+AO$3-2,12)+1</f>
        <v/>
      </c>
      <c r="AP5" s="28">
        <f>MOD(Control!$C$10+AP$3-2,12)+1</f>
        <v/>
      </c>
      <c r="AQ5" s="28">
        <f>MOD(Control!$C$10+AQ$3-2,12)+1</f>
        <v/>
      </c>
      <c r="AR5" s="28">
        <f>MOD(Control!$C$10+AR$3-2,12)+1</f>
        <v/>
      </c>
      <c r="AS5" s="28">
        <f>MOD(Control!$C$10+AS$3-2,12)+1</f>
        <v/>
      </c>
      <c r="AT5" s="28">
        <f>MOD(Control!$C$10+AT$3-2,12)+1</f>
        <v/>
      </c>
      <c r="AU5" s="28">
        <f>MOD(Control!$C$10+AU$3-2,12)+1</f>
        <v/>
      </c>
      <c r="AV5" s="28">
        <f>MOD(Control!$C$10+AV$3-2,12)+1</f>
        <v/>
      </c>
      <c r="AW5" s="28">
        <f>MOD(Control!$C$10+AW$3-2,12)+1</f>
        <v/>
      </c>
      <c r="AX5" s="28">
        <f>MOD(Control!$C$10+AX$3-2,12)+1</f>
        <v/>
      </c>
      <c r="AY5" s="28">
        <f>MOD(Control!$C$10+AY$3-2,12)+1</f>
        <v/>
      </c>
      <c r="AZ5" s="28">
        <f>MOD(Control!$C$10+AZ$3-2,12)+1</f>
        <v/>
      </c>
      <c r="BA5" s="28">
        <f>MOD(Control!$C$10+BA$3-2,12)+1</f>
        <v/>
      </c>
      <c r="BB5" s="28">
        <f>MOD(Control!$C$10+BB$3-2,12)+1</f>
        <v/>
      </c>
      <c r="BC5" s="28">
        <f>MOD(Control!$C$10+BC$3-2,12)+1</f>
        <v/>
      </c>
      <c r="BD5" s="28">
        <f>MOD(Control!$C$10+BD$3-2,12)+1</f>
        <v/>
      </c>
      <c r="BE5" s="28">
        <f>MOD(Control!$C$10+BE$3-2,12)+1</f>
        <v/>
      </c>
      <c r="BF5" s="28">
        <f>MOD(Control!$C$10+BF$3-2,12)+1</f>
        <v/>
      </c>
      <c r="BG5" s="28">
        <f>MOD(Control!$C$10+BG$3-2,12)+1</f>
        <v/>
      </c>
      <c r="BH5" s="28">
        <f>MOD(Control!$C$10+BH$3-2,12)+1</f>
        <v/>
      </c>
      <c r="BI5" s="28">
        <f>MOD(Control!$C$10+BI$3-2,12)+1</f>
        <v/>
      </c>
      <c r="BJ5" s="28">
        <f>MOD(Control!$C$10+BJ$3-2,12)+1</f>
        <v/>
      </c>
      <c r="BK5" s="28">
        <f>MOD(Control!$C$10+BK$3-2,12)+1</f>
        <v/>
      </c>
      <c r="BL5" s="28">
        <f>MOD(Control!$C$10+BL$3-2,12)+1</f>
        <v/>
      </c>
      <c r="BM5" s="28">
        <f>MOD(Control!$C$10+BM$3-2,12)+1</f>
        <v/>
      </c>
      <c r="BN5" s="28">
        <f>MOD(Control!$C$10+BN$3-2,12)+1</f>
        <v/>
      </c>
      <c r="BO5" s="28">
        <f>MOD(Control!$C$10+BO$3-2,12)+1</f>
        <v/>
      </c>
      <c r="BP5" s="28">
        <f>MOD(Control!$C$10+BP$3-2,12)+1</f>
        <v/>
      </c>
      <c r="BQ5" s="28">
        <f>MOD(Control!$C$10+BQ$3-2,12)+1</f>
        <v/>
      </c>
      <c r="BR5" s="28">
        <f>MOD(Control!$C$10+BR$3-2,12)+1</f>
        <v/>
      </c>
      <c r="BS5" s="28">
        <f>MOD(Control!$C$10+BS$3-2,12)+1</f>
        <v/>
      </c>
      <c r="BT5" s="28">
        <f>MOD(Control!$C$10+BT$3-2,12)+1</f>
        <v/>
      </c>
      <c r="BU5" s="28">
        <f>MOD(Control!$C$10+BU$3-2,12)+1</f>
        <v/>
      </c>
      <c r="BV5" s="28">
        <f>MOD(Control!$C$10+BV$3-2,12)+1</f>
        <v/>
      </c>
      <c r="BW5" s="28">
        <f>MOD(Control!$C$10+BW$3-2,12)+1</f>
        <v/>
      </c>
      <c r="BX5" s="28">
        <f>MOD(Control!$C$10+BX$3-2,12)+1</f>
        <v/>
      </c>
      <c r="BY5" s="28">
        <f>MOD(Control!$C$10+BY$3-2,12)+1</f>
        <v/>
      </c>
      <c r="BZ5" s="28">
        <f>MOD(Control!$C$10+BZ$3-2,12)+1</f>
        <v/>
      </c>
      <c r="CA5" s="28">
        <f>MOD(Control!$C$10+CA$3-2,12)+1</f>
        <v/>
      </c>
      <c r="CB5" s="28">
        <f>MOD(Control!$C$10+CB$3-2,12)+1</f>
        <v/>
      </c>
      <c r="CC5" s="28">
        <f>MOD(Control!$C$10+CC$3-2,12)+1</f>
        <v/>
      </c>
      <c r="CD5" s="28">
        <f>MOD(Control!$C$10+CD$3-2,12)+1</f>
        <v/>
      </c>
      <c r="CE5" s="28">
        <f>MOD(Control!$C$10+CE$3-2,12)+1</f>
        <v/>
      </c>
      <c r="CF5" s="28">
        <f>MOD(Control!$C$10+CF$3-2,12)+1</f>
        <v/>
      </c>
      <c r="CG5" s="28">
        <f>MOD(Control!$C$10+CG$3-2,12)+1</f>
        <v/>
      </c>
      <c r="CH5" s="28">
        <f>MOD(Control!$C$10+CH$3-2,12)+1</f>
        <v/>
      </c>
      <c r="CI5" s="28">
        <f>MOD(Control!$C$10+CI$3-2,12)+1</f>
        <v/>
      </c>
      <c r="CJ5" s="28">
        <f>MOD(Control!$C$10+CJ$3-2,12)+1</f>
        <v/>
      </c>
      <c r="CK5" s="28">
        <f>MOD(Control!$C$10+CK$3-2,12)+1</f>
        <v/>
      </c>
      <c r="CL5" s="28">
        <f>MOD(Control!$C$10+CL$3-2,12)+1</f>
        <v/>
      </c>
      <c r="CM5" s="28">
        <f>MOD(Control!$C$10+CM$3-2,12)+1</f>
        <v/>
      </c>
      <c r="CN5" s="28">
        <f>MOD(Control!$C$10+CN$3-2,12)+1</f>
        <v/>
      </c>
      <c r="CO5" s="28">
        <f>MOD(Control!$C$10+CO$3-2,12)+1</f>
        <v/>
      </c>
      <c r="CP5" s="28">
        <f>MOD(Control!$C$10+CP$3-2,12)+1</f>
        <v/>
      </c>
      <c r="CQ5" s="28">
        <f>MOD(Control!$C$10+CQ$3-2,12)+1</f>
        <v/>
      </c>
      <c r="CR5" s="28">
        <f>MOD(Control!$C$10+CR$3-2,12)+1</f>
        <v/>
      </c>
      <c r="CS5" s="28">
        <f>MOD(Control!$C$10+CS$3-2,12)+1</f>
        <v/>
      </c>
      <c r="CT5" s="28">
        <f>MOD(Control!$C$10+CT$3-2,12)+1</f>
        <v/>
      </c>
      <c r="CU5" s="28">
        <f>MOD(Control!$C$10+CU$3-2,12)+1</f>
        <v/>
      </c>
      <c r="CV5" s="28">
        <f>MOD(Control!$C$10+CV$3-2,12)+1</f>
        <v/>
      </c>
      <c r="CW5" s="28">
        <f>MOD(Control!$C$10+CW$3-2,12)+1</f>
        <v/>
      </c>
      <c r="CX5" s="28">
        <f>MOD(Control!$C$10+CX$3-2,12)+1</f>
        <v/>
      </c>
      <c r="CY5" s="28">
        <f>MOD(Control!$C$10+CY$3-2,12)+1</f>
        <v/>
      </c>
      <c r="CZ5" s="28">
        <f>MOD(Control!$C$10+CZ$3-2,12)+1</f>
        <v/>
      </c>
      <c r="DA5" s="28">
        <f>MOD(Control!$C$10+DA$3-2,12)+1</f>
        <v/>
      </c>
      <c r="DB5" s="28">
        <f>MOD(Control!$C$10+DB$3-2,12)+1</f>
        <v/>
      </c>
      <c r="DC5" s="28">
        <f>MOD(Control!$C$10+DC$3-2,12)+1</f>
        <v/>
      </c>
      <c r="DD5" s="28">
        <f>MOD(Control!$C$10+DD$3-2,12)+1</f>
        <v/>
      </c>
      <c r="DE5" s="28">
        <f>MOD(Control!$C$10+DE$3-2,12)+1</f>
        <v/>
      </c>
      <c r="DF5" s="28">
        <f>MOD(Control!$C$10+DF$3-2,12)+1</f>
        <v/>
      </c>
      <c r="DG5" s="28">
        <f>MOD(Control!$C$10+DG$3-2,12)+1</f>
        <v/>
      </c>
      <c r="DH5" s="28">
        <f>MOD(Control!$C$10+DH$3-2,12)+1</f>
        <v/>
      </c>
      <c r="DI5" s="28">
        <f>MOD(Control!$C$10+DI$3-2,12)+1</f>
        <v/>
      </c>
      <c r="DJ5" s="28">
        <f>MOD(Control!$C$10+DJ$3-2,12)+1</f>
        <v/>
      </c>
      <c r="DK5" s="28">
        <f>MOD(Control!$C$10+DK$3-2,12)+1</f>
        <v/>
      </c>
      <c r="DL5" s="28">
        <f>MOD(Control!$C$10+DL$3-2,12)+1</f>
        <v/>
      </c>
      <c r="DM5" s="28">
        <f>MOD(Control!$C$10+DM$3-2,12)+1</f>
        <v/>
      </c>
      <c r="DN5" s="28">
        <f>MOD(Control!$C$10+DN$3-2,12)+1</f>
        <v/>
      </c>
      <c r="DO5" s="28">
        <f>MOD(Control!$C$10+DO$3-2,12)+1</f>
        <v/>
      </c>
      <c r="DP5" s="28">
        <f>MOD(Control!$C$10+DP$3-2,12)+1</f>
        <v/>
      </c>
      <c r="DQ5" s="28">
        <f>MOD(Control!$C$10+DQ$3-2,12)+1</f>
        <v/>
      </c>
      <c r="DR5" s="28">
        <f>MOD(Control!$C$10+DR$3-2,12)+1</f>
        <v/>
      </c>
      <c r="DS5" s="28">
        <f>MOD(Control!$C$10+DS$3-2,12)+1</f>
        <v/>
      </c>
    </row>
    <row r="6">
      <c r="B6" s="3" t="inlineStr">
        <is>
          <t>Month starting</t>
        </is>
      </c>
      <c r="D6" s="34">
        <f>DATE(Control!$C$9+INT((Control!$C$10+D$3-2)/12),D$5,1)</f>
        <v/>
      </c>
      <c r="E6" s="34">
        <f>DATE(Control!$C$9+INT((Control!$C$10+E$3-2)/12),E$5,1)</f>
        <v/>
      </c>
      <c r="F6" s="34">
        <f>DATE(Control!$C$9+INT((Control!$C$10+F$3-2)/12),F$5,1)</f>
        <v/>
      </c>
      <c r="G6" s="34">
        <f>DATE(Control!$C$9+INT((Control!$C$10+G$3-2)/12),G$5,1)</f>
        <v/>
      </c>
      <c r="H6" s="34">
        <f>DATE(Control!$C$9+INT((Control!$C$10+H$3-2)/12),H$5,1)</f>
        <v/>
      </c>
      <c r="I6" s="34">
        <f>DATE(Control!$C$9+INT((Control!$C$10+I$3-2)/12),I$5,1)</f>
        <v/>
      </c>
      <c r="J6" s="34">
        <f>DATE(Control!$C$9+INT((Control!$C$10+J$3-2)/12),J$5,1)</f>
        <v/>
      </c>
      <c r="K6" s="34">
        <f>DATE(Control!$C$9+INT((Control!$C$10+K$3-2)/12),K$5,1)</f>
        <v/>
      </c>
      <c r="L6" s="34">
        <f>DATE(Control!$C$9+INT((Control!$C$10+L$3-2)/12),L$5,1)</f>
        <v/>
      </c>
      <c r="M6" s="34">
        <f>DATE(Control!$C$9+INT((Control!$C$10+M$3-2)/12),M$5,1)</f>
        <v/>
      </c>
      <c r="N6" s="34">
        <f>DATE(Control!$C$9+INT((Control!$C$10+N$3-2)/12),N$5,1)</f>
        <v/>
      </c>
      <c r="O6" s="34">
        <f>DATE(Control!$C$9+INT((Control!$C$10+O$3-2)/12),O$5,1)</f>
        <v/>
      </c>
      <c r="P6" s="34">
        <f>DATE(Control!$C$9+INT((Control!$C$10+P$3-2)/12),P$5,1)</f>
        <v/>
      </c>
      <c r="Q6" s="34">
        <f>DATE(Control!$C$9+INT((Control!$C$10+Q$3-2)/12),Q$5,1)</f>
        <v/>
      </c>
      <c r="R6" s="34">
        <f>DATE(Control!$C$9+INT((Control!$C$10+R$3-2)/12),R$5,1)</f>
        <v/>
      </c>
      <c r="S6" s="34">
        <f>DATE(Control!$C$9+INT((Control!$C$10+S$3-2)/12),S$5,1)</f>
        <v/>
      </c>
      <c r="T6" s="34">
        <f>DATE(Control!$C$9+INT((Control!$C$10+T$3-2)/12),T$5,1)</f>
        <v/>
      </c>
      <c r="U6" s="34">
        <f>DATE(Control!$C$9+INT((Control!$C$10+U$3-2)/12),U$5,1)</f>
        <v/>
      </c>
      <c r="V6" s="34">
        <f>DATE(Control!$C$9+INT((Control!$C$10+V$3-2)/12),V$5,1)</f>
        <v/>
      </c>
      <c r="W6" s="34">
        <f>DATE(Control!$C$9+INT((Control!$C$10+W$3-2)/12),W$5,1)</f>
        <v/>
      </c>
      <c r="X6" s="34">
        <f>DATE(Control!$C$9+INT((Control!$C$10+X$3-2)/12),X$5,1)</f>
        <v/>
      </c>
      <c r="Y6" s="34">
        <f>DATE(Control!$C$9+INT((Control!$C$10+Y$3-2)/12),Y$5,1)</f>
        <v/>
      </c>
      <c r="Z6" s="34">
        <f>DATE(Control!$C$9+INT((Control!$C$10+Z$3-2)/12),Z$5,1)</f>
        <v/>
      </c>
      <c r="AA6" s="34">
        <f>DATE(Control!$C$9+INT((Control!$C$10+AA$3-2)/12),AA$5,1)</f>
        <v/>
      </c>
      <c r="AB6" s="34">
        <f>DATE(Control!$C$9+INT((Control!$C$10+AB$3-2)/12),AB$5,1)</f>
        <v/>
      </c>
      <c r="AC6" s="34">
        <f>DATE(Control!$C$9+INT((Control!$C$10+AC$3-2)/12),AC$5,1)</f>
        <v/>
      </c>
      <c r="AD6" s="34">
        <f>DATE(Control!$C$9+INT((Control!$C$10+AD$3-2)/12),AD$5,1)</f>
        <v/>
      </c>
      <c r="AE6" s="34">
        <f>DATE(Control!$C$9+INT((Control!$C$10+AE$3-2)/12),AE$5,1)</f>
        <v/>
      </c>
      <c r="AF6" s="34">
        <f>DATE(Control!$C$9+INT((Control!$C$10+AF$3-2)/12),AF$5,1)</f>
        <v/>
      </c>
      <c r="AG6" s="34">
        <f>DATE(Control!$C$9+INT((Control!$C$10+AG$3-2)/12),AG$5,1)</f>
        <v/>
      </c>
      <c r="AH6" s="34">
        <f>DATE(Control!$C$9+INT((Control!$C$10+AH$3-2)/12),AH$5,1)</f>
        <v/>
      </c>
      <c r="AI6" s="34">
        <f>DATE(Control!$C$9+INT((Control!$C$10+AI$3-2)/12),AI$5,1)</f>
        <v/>
      </c>
      <c r="AJ6" s="34">
        <f>DATE(Control!$C$9+INT((Control!$C$10+AJ$3-2)/12),AJ$5,1)</f>
        <v/>
      </c>
      <c r="AK6" s="34">
        <f>DATE(Control!$C$9+INT((Control!$C$10+AK$3-2)/12),AK$5,1)</f>
        <v/>
      </c>
      <c r="AL6" s="34">
        <f>DATE(Control!$C$9+INT((Control!$C$10+AL$3-2)/12),AL$5,1)</f>
        <v/>
      </c>
      <c r="AM6" s="34">
        <f>DATE(Control!$C$9+INT((Control!$C$10+AM$3-2)/12),AM$5,1)</f>
        <v/>
      </c>
      <c r="AN6" s="34">
        <f>DATE(Control!$C$9+INT((Control!$C$10+AN$3-2)/12),AN$5,1)</f>
        <v/>
      </c>
      <c r="AO6" s="34">
        <f>DATE(Control!$C$9+INT((Control!$C$10+AO$3-2)/12),AO$5,1)</f>
        <v/>
      </c>
      <c r="AP6" s="34">
        <f>DATE(Control!$C$9+INT((Control!$C$10+AP$3-2)/12),AP$5,1)</f>
        <v/>
      </c>
      <c r="AQ6" s="34">
        <f>DATE(Control!$C$9+INT((Control!$C$10+AQ$3-2)/12),AQ$5,1)</f>
        <v/>
      </c>
      <c r="AR6" s="34">
        <f>DATE(Control!$C$9+INT((Control!$C$10+AR$3-2)/12),AR$5,1)</f>
        <v/>
      </c>
      <c r="AS6" s="34">
        <f>DATE(Control!$C$9+INT((Control!$C$10+AS$3-2)/12),AS$5,1)</f>
        <v/>
      </c>
      <c r="AT6" s="34">
        <f>DATE(Control!$C$9+INT((Control!$C$10+AT$3-2)/12),AT$5,1)</f>
        <v/>
      </c>
      <c r="AU6" s="34">
        <f>DATE(Control!$C$9+INT((Control!$C$10+AU$3-2)/12),AU$5,1)</f>
        <v/>
      </c>
      <c r="AV6" s="34">
        <f>DATE(Control!$C$9+INT((Control!$C$10+AV$3-2)/12),AV$5,1)</f>
        <v/>
      </c>
      <c r="AW6" s="34">
        <f>DATE(Control!$C$9+INT((Control!$C$10+AW$3-2)/12),AW$5,1)</f>
        <v/>
      </c>
      <c r="AX6" s="34">
        <f>DATE(Control!$C$9+INT((Control!$C$10+AX$3-2)/12),AX$5,1)</f>
        <v/>
      </c>
      <c r="AY6" s="34">
        <f>DATE(Control!$C$9+INT((Control!$C$10+AY$3-2)/12),AY$5,1)</f>
        <v/>
      </c>
      <c r="AZ6" s="34">
        <f>DATE(Control!$C$9+INT((Control!$C$10+AZ$3-2)/12),AZ$5,1)</f>
        <v/>
      </c>
      <c r="BA6" s="34">
        <f>DATE(Control!$C$9+INT((Control!$C$10+BA$3-2)/12),BA$5,1)</f>
        <v/>
      </c>
      <c r="BB6" s="34">
        <f>DATE(Control!$C$9+INT((Control!$C$10+BB$3-2)/12),BB$5,1)</f>
        <v/>
      </c>
      <c r="BC6" s="34">
        <f>DATE(Control!$C$9+INT((Control!$C$10+BC$3-2)/12),BC$5,1)</f>
        <v/>
      </c>
      <c r="BD6" s="34">
        <f>DATE(Control!$C$9+INT((Control!$C$10+BD$3-2)/12),BD$5,1)</f>
        <v/>
      </c>
      <c r="BE6" s="34">
        <f>DATE(Control!$C$9+INT((Control!$C$10+BE$3-2)/12),BE$5,1)</f>
        <v/>
      </c>
      <c r="BF6" s="34">
        <f>DATE(Control!$C$9+INT((Control!$C$10+BF$3-2)/12),BF$5,1)</f>
        <v/>
      </c>
      <c r="BG6" s="34">
        <f>DATE(Control!$C$9+INT((Control!$C$10+BG$3-2)/12),BG$5,1)</f>
        <v/>
      </c>
      <c r="BH6" s="34">
        <f>DATE(Control!$C$9+INT((Control!$C$10+BH$3-2)/12),BH$5,1)</f>
        <v/>
      </c>
      <c r="BI6" s="34">
        <f>DATE(Control!$C$9+INT((Control!$C$10+BI$3-2)/12),BI$5,1)</f>
        <v/>
      </c>
      <c r="BJ6" s="34">
        <f>DATE(Control!$C$9+INT((Control!$C$10+BJ$3-2)/12),BJ$5,1)</f>
        <v/>
      </c>
      <c r="BK6" s="34">
        <f>DATE(Control!$C$9+INT((Control!$C$10+BK$3-2)/12),BK$5,1)</f>
        <v/>
      </c>
      <c r="BL6" s="34">
        <f>DATE(Control!$C$9+INT((Control!$C$10+BL$3-2)/12),BL$5,1)</f>
        <v/>
      </c>
      <c r="BM6" s="34">
        <f>DATE(Control!$C$9+INT((Control!$C$10+BM$3-2)/12),BM$5,1)</f>
        <v/>
      </c>
      <c r="BN6" s="34">
        <f>DATE(Control!$C$9+INT((Control!$C$10+BN$3-2)/12),BN$5,1)</f>
        <v/>
      </c>
      <c r="BO6" s="34">
        <f>DATE(Control!$C$9+INT((Control!$C$10+BO$3-2)/12),BO$5,1)</f>
        <v/>
      </c>
      <c r="BP6" s="34">
        <f>DATE(Control!$C$9+INT((Control!$C$10+BP$3-2)/12),BP$5,1)</f>
        <v/>
      </c>
      <c r="BQ6" s="34">
        <f>DATE(Control!$C$9+INT((Control!$C$10+BQ$3-2)/12),BQ$5,1)</f>
        <v/>
      </c>
      <c r="BR6" s="34">
        <f>DATE(Control!$C$9+INT((Control!$C$10+BR$3-2)/12),BR$5,1)</f>
        <v/>
      </c>
      <c r="BS6" s="34">
        <f>DATE(Control!$C$9+INT((Control!$C$10+BS$3-2)/12),BS$5,1)</f>
        <v/>
      </c>
      <c r="BT6" s="34">
        <f>DATE(Control!$C$9+INT((Control!$C$10+BT$3-2)/12),BT$5,1)</f>
        <v/>
      </c>
      <c r="BU6" s="34">
        <f>DATE(Control!$C$9+INT((Control!$C$10+BU$3-2)/12),BU$5,1)</f>
        <v/>
      </c>
      <c r="BV6" s="34">
        <f>DATE(Control!$C$9+INT((Control!$C$10+BV$3-2)/12),BV$5,1)</f>
        <v/>
      </c>
      <c r="BW6" s="34">
        <f>DATE(Control!$C$9+INT((Control!$C$10+BW$3-2)/12),BW$5,1)</f>
        <v/>
      </c>
      <c r="BX6" s="34">
        <f>DATE(Control!$C$9+INT((Control!$C$10+BX$3-2)/12),BX$5,1)</f>
        <v/>
      </c>
      <c r="BY6" s="34">
        <f>DATE(Control!$C$9+INT((Control!$C$10+BY$3-2)/12),BY$5,1)</f>
        <v/>
      </c>
      <c r="BZ6" s="34">
        <f>DATE(Control!$C$9+INT((Control!$C$10+BZ$3-2)/12),BZ$5,1)</f>
        <v/>
      </c>
      <c r="CA6" s="34">
        <f>DATE(Control!$C$9+INT((Control!$C$10+CA$3-2)/12),CA$5,1)</f>
        <v/>
      </c>
      <c r="CB6" s="34">
        <f>DATE(Control!$C$9+INT((Control!$C$10+CB$3-2)/12),CB$5,1)</f>
        <v/>
      </c>
      <c r="CC6" s="34">
        <f>DATE(Control!$C$9+INT((Control!$C$10+CC$3-2)/12),CC$5,1)</f>
        <v/>
      </c>
      <c r="CD6" s="34">
        <f>DATE(Control!$C$9+INT((Control!$C$10+CD$3-2)/12),CD$5,1)</f>
        <v/>
      </c>
      <c r="CE6" s="34">
        <f>DATE(Control!$C$9+INT((Control!$C$10+CE$3-2)/12),CE$5,1)</f>
        <v/>
      </c>
      <c r="CF6" s="34">
        <f>DATE(Control!$C$9+INT((Control!$C$10+CF$3-2)/12),CF$5,1)</f>
        <v/>
      </c>
      <c r="CG6" s="34">
        <f>DATE(Control!$C$9+INT((Control!$C$10+CG$3-2)/12),CG$5,1)</f>
        <v/>
      </c>
      <c r="CH6" s="34">
        <f>DATE(Control!$C$9+INT((Control!$C$10+CH$3-2)/12),CH$5,1)</f>
        <v/>
      </c>
      <c r="CI6" s="34">
        <f>DATE(Control!$C$9+INT((Control!$C$10+CI$3-2)/12),CI$5,1)</f>
        <v/>
      </c>
      <c r="CJ6" s="34">
        <f>DATE(Control!$C$9+INT((Control!$C$10+CJ$3-2)/12),CJ$5,1)</f>
        <v/>
      </c>
      <c r="CK6" s="34">
        <f>DATE(Control!$C$9+INT((Control!$C$10+CK$3-2)/12),CK$5,1)</f>
        <v/>
      </c>
      <c r="CL6" s="34">
        <f>DATE(Control!$C$9+INT((Control!$C$10+CL$3-2)/12),CL$5,1)</f>
        <v/>
      </c>
      <c r="CM6" s="34">
        <f>DATE(Control!$C$9+INT((Control!$C$10+CM$3-2)/12),CM$5,1)</f>
        <v/>
      </c>
      <c r="CN6" s="34">
        <f>DATE(Control!$C$9+INT((Control!$C$10+CN$3-2)/12),CN$5,1)</f>
        <v/>
      </c>
      <c r="CO6" s="34">
        <f>DATE(Control!$C$9+INT((Control!$C$10+CO$3-2)/12),CO$5,1)</f>
        <v/>
      </c>
      <c r="CP6" s="34">
        <f>DATE(Control!$C$9+INT((Control!$C$10+CP$3-2)/12),CP$5,1)</f>
        <v/>
      </c>
      <c r="CQ6" s="34">
        <f>DATE(Control!$C$9+INT((Control!$C$10+CQ$3-2)/12),CQ$5,1)</f>
        <v/>
      </c>
      <c r="CR6" s="34">
        <f>DATE(Control!$C$9+INT((Control!$C$10+CR$3-2)/12),CR$5,1)</f>
        <v/>
      </c>
      <c r="CS6" s="34">
        <f>DATE(Control!$C$9+INT((Control!$C$10+CS$3-2)/12),CS$5,1)</f>
        <v/>
      </c>
      <c r="CT6" s="34">
        <f>DATE(Control!$C$9+INT((Control!$C$10+CT$3-2)/12),CT$5,1)</f>
        <v/>
      </c>
      <c r="CU6" s="34">
        <f>DATE(Control!$C$9+INT((Control!$C$10+CU$3-2)/12),CU$5,1)</f>
        <v/>
      </c>
      <c r="CV6" s="34">
        <f>DATE(Control!$C$9+INT((Control!$C$10+CV$3-2)/12),CV$5,1)</f>
        <v/>
      </c>
      <c r="CW6" s="34">
        <f>DATE(Control!$C$9+INT((Control!$C$10+CW$3-2)/12),CW$5,1)</f>
        <v/>
      </c>
      <c r="CX6" s="34">
        <f>DATE(Control!$C$9+INT((Control!$C$10+CX$3-2)/12),CX$5,1)</f>
        <v/>
      </c>
      <c r="CY6" s="34">
        <f>DATE(Control!$C$9+INT((Control!$C$10+CY$3-2)/12),CY$5,1)</f>
        <v/>
      </c>
      <c r="CZ6" s="34">
        <f>DATE(Control!$C$9+INT((Control!$C$10+CZ$3-2)/12),CZ$5,1)</f>
        <v/>
      </c>
      <c r="DA6" s="34">
        <f>DATE(Control!$C$9+INT((Control!$C$10+DA$3-2)/12),DA$5,1)</f>
        <v/>
      </c>
      <c r="DB6" s="34">
        <f>DATE(Control!$C$9+INT((Control!$C$10+DB$3-2)/12),DB$5,1)</f>
        <v/>
      </c>
      <c r="DC6" s="34">
        <f>DATE(Control!$C$9+INT((Control!$C$10+DC$3-2)/12),DC$5,1)</f>
        <v/>
      </c>
      <c r="DD6" s="34">
        <f>DATE(Control!$C$9+INT((Control!$C$10+DD$3-2)/12),DD$5,1)</f>
        <v/>
      </c>
      <c r="DE6" s="34">
        <f>DATE(Control!$C$9+INT((Control!$C$10+DE$3-2)/12),DE$5,1)</f>
        <v/>
      </c>
      <c r="DF6" s="34">
        <f>DATE(Control!$C$9+INT((Control!$C$10+DF$3-2)/12),DF$5,1)</f>
        <v/>
      </c>
      <c r="DG6" s="34">
        <f>DATE(Control!$C$9+INT((Control!$C$10+DG$3-2)/12),DG$5,1)</f>
        <v/>
      </c>
      <c r="DH6" s="34">
        <f>DATE(Control!$C$9+INT((Control!$C$10+DH$3-2)/12),DH$5,1)</f>
        <v/>
      </c>
      <c r="DI6" s="34">
        <f>DATE(Control!$C$9+INT((Control!$C$10+DI$3-2)/12),DI$5,1)</f>
        <v/>
      </c>
      <c r="DJ6" s="34">
        <f>DATE(Control!$C$9+INT((Control!$C$10+DJ$3-2)/12),DJ$5,1)</f>
        <v/>
      </c>
      <c r="DK6" s="34">
        <f>DATE(Control!$C$9+INT((Control!$C$10+DK$3-2)/12),DK$5,1)</f>
        <v/>
      </c>
      <c r="DL6" s="34">
        <f>DATE(Control!$C$9+INT((Control!$C$10+DL$3-2)/12),DL$5,1)</f>
        <v/>
      </c>
      <c r="DM6" s="34">
        <f>DATE(Control!$C$9+INT((Control!$C$10+DM$3-2)/12),DM$5,1)</f>
        <v/>
      </c>
      <c r="DN6" s="34">
        <f>DATE(Control!$C$9+INT((Control!$C$10+DN$3-2)/12),DN$5,1)</f>
        <v/>
      </c>
      <c r="DO6" s="34">
        <f>DATE(Control!$C$9+INT((Control!$C$10+DO$3-2)/12),DO$5,1)</f>
        <v/>
      </c>
      <c r="DP6" s="34">
        <f>DATE(Control!$C$9+INT((Control!$C$10+DP$3-2)/12),DP$5,1)</f>
        <v/>
      </c>
      <c r="DQ6" s="34">
        <f>DATE(Control!$C$9+INT((Control!$C$10+DQ$3-2)/12),DQ$5,1)</f>
        <v/>
      </c>
      <c r="DR6" s="34">
        <f>DATE(Control!$C$9+INT((Control!$C$10+DR$3-2)/12),DR$5,1)</f>
        <v/>
      </c>
      <c r="DS6" s="34">
        <f>DATE(Control!$C$9+INT((Control!$C$10+DS$3-2)/12),DS$5,1)</f>
        <v/>
      </c>
    </row>
    <row r="8">
      <c r="A8" s="2" t="inlineStr">
        <is>
          <t>FD_DEMAND</t>
        </is>
      </c>
      <c r="B8" s="6" t="inlineStr">
        <is>
          <t>Feed demand (all animals)</t>
        </is>
      </c>
      <c r="C8" s="2" t="inlineStr">
        <is>
          <t>kg DM</t>
        </is>
      </c>
      <c r="D8" s="10">
        <f>Livestock!D30+Livestock!D54</f>
        <v/>
      </c>
      <c r="E8" s="10">
        <f>Livestock!E30+Livestock!E54</f>
        <v/>
      </c>
      <c r="F8" s="10">
        <f>Livestock!F30+Livestock!F54</f>
        <v/>
      </c>
      <c r="G8" s="10">
        <f>Livestock!G30+Livestock!G54</f>
        <v/>
      </c>
      <c r="H8" s="10">
        <f>Livestock!H30+Livestock!H54</f>
        <v/>
      </c>
      <c r="I8" s="10">
        <f>Livestock!I30+Livestock!I54</f>
        <v/>
      </c>
      <c r="J8" s="10">
        <f>Livestock!J30+Livestock!J54</f>
        <v/>
      </c>
      <c r="K8" s="10">
        <f>Livestock!K30+Livestock!K54</f>
        <v/>
      </c>
      <c r="L8" s="10">
        <f>Livestock!L30+Livestock!L54</f>
        <v/>
      </c>
      <c r="M8" s="10">
        <f>Livestock!M30+Livestock!M54</f>
        <v/>
      </c>
      <c r="N8" s="10">
        <f>Livestock!N30+Livestock!N54</f>
        <v/>
      </c>
      <c r="O8" s="10">
        <f>Livestock!O30+Livestock!O54</f>
        <v/>
      </c>
      <c r="P8" s="10">
        <f>Livestock!P30+Livestock!P54</f>
        <v/>
      </c>
      <c r="Q8" s="10">
        <f>Livestock!Q30+Livestock!Q54</f>
        <v/>
      </c>
      <c r="R8" s="10">
        <f>Livestock!R30+Livestock!R54</f>
        <v/>
      </c>
      <c r="S8" s="10">
        <f>Livestock!S30+Livestock!S54</f>
        <v/>
      </c>
      <c r="T8" s="10">
        <f>Livestock!T30+Livestock!T54</f>
        <v/>
      </c>
      <c r="U8" s="10">
        <f>Livestock!U30+Livestock!U54</f>
        <v/>
      </c>
      <c r="V8" s="10">
        <f>Livestock!V30+Livestock!V54</f>
        <v/>
      </c>
      <c r="W8" s="10">
        <f>Livestock!W30+Livestock!W54</f>
        <v/>
      </c>
      <c r="X8" s="10">
        <f>Livestock!X30+Livestock!X54</f>
        <v/>
      </c>
      <c r="Y8" s="10">
        <f>Livestock!Y30+Livestock!Y54</f>
        <v/>
      </c>
      <c r="Z8" s="10">
        <f>Livestock!Z30+Livestock!Z54</f>
        <v/>
      </c>
      <c r="AA8" s="10">
        <f>Livestock!AA30+Livestock!AA54</f>
        <v/>
      </c>
      <c r="AB8" s="10">
        <f>Livestock!AB30+Livestock!AB54</f>
        <v/>
      </c>
      <c r="AC8" s="10">
        <f>Livestock!AC30+Livestock!AC54</f>
        <v/>
      </c>
      <c r="AD8" s="10">
        <f>Livestock!AD30+Livestock!AD54</f>
        <v/>
      </c>
      <c r="AE8" s="10">
        <f>Livestock!AE30+Livestock!AE54</f>
        <v/>
      </c>
      <c r="AF8" s="10">
        <f>Livestock!AF30+Livestock!AF54</f>
        <v/>
      </c>
      <c r="AG8" s="10">
        <f>Livestock!AG30+Livestock!AG54</f>
        <v/>
      </c>
      <c r="AH8" s="10">
        <f>Livestock!AH30+Livestock!AH54</f>
        <v/>
      </c>
      <c r="AI8" s="10">
        <f>Livestock!AI30+Livestock!AI54</f>
        <v/>
      </c>
      <c r="AJ8" s="10">
        <f>Livestock!AJ30+Livestock!AJ54</f>
        <v/>
      </c>
      <c r="AK8" s="10">
        <f>Livestock!AK30+Livestock!AK54</f>
        <v/>
      </c>
      <c r="AL8" s="10">
        <f>Livestock!AL30+Livestock!AL54</f>
        <v/>
      </c>
      <c r="AM8" s="10">
        <f>Livestock!AM30+Livestock!AM54</f>
        <v/>
      </c>
      <c r="AN8" s="10">
        <f>Livestock!AN30+Livestock!AN54</f>
        <v/>
      </c>
      <c r="AO8" s="10">
        <f>Livestock!AO30+Livestock!AO54</f>
        <v/>
      </c>
      <c r="AP8" s="10">
        <f>Livestock!AP30+Livestock!AP54</f>
        <v/>
      </c>
      <c r="AQ8" s="10">
        <f>Livestock!AQ30+Livestock!AQ54</f>
        <v/>
      </c>
      <c r="AR8" s="10">
        <f>Livestock!AR30+Livestock!AR54</f>
        <v/>
      </c>
      <c r="AS8" s="10">
        <f>Livestock!AS30+Livestock!AS54</f>
        <v/>
      </c>
      <c r="AT8" s="10">
        <f>Livestock!AT30+Livestock!AT54</f>
        <v/>
      </c>
      <c r="AU8" s="10">
        <f>Livestock!AU30+Livestock!AU54</f>
        <v/>
      </c>
      <c r="AV8" s="10">
        <f>Livestock!AV30+Livestock!AV54</f>
        <v/>
      </c>
      <c r="AW8" s="10">
        <f>Livestock!AW30+Livestock!AW54</f>
        <v/>
      </c>
      <c r="AX8" s="10">
        <f>Livestock!AX30+Livestock!AX54</f>
        <v/>
      </c>
      <c r="AY8" s="10">
        <f>Livestock!AY30+Livestock!AY54</f>
        <v/>
      </c>
      <c r="AZ8" s="10">
        <f>Livestock!AZ30+Livestock!AZ54</f>
        <v/>
      </c>
      <c r="BA8" s="10">
        <f>Livestock!BA30+Livestock!BA54</f>
        <v/>
      </c>
      <c r="BB8" s="10">
        <f>Livestock!BB30+Livestock!BB54</f>
        <v/>
      </c>
      <c r="BC8" s="10">
        <f>Livestock!BC30+Livestock!BC54</f>
        <v/>
      </c>
      <c r="BD8" s="10">
        <f>Livestock!BD30+Livestock!BD54</f>
        <v/>
      </c>
      <c r="BE8" s="10">
        <f>Livestock!BE30+Livestock!BE54</f>
        <v/>
      </c>
      <c r="BF8" s="10">
        <f>Livestock!BF30+Livestock!BF54</f>
        <v/>
      </c>
      <c r="BG8" s="10">
        <f>Livestock!BG30+Livestock!BG54</f>
        <v/>
      </c>
      <c r="BH8" s="10">
        <f>Livestock!BH30+Livestock!BH54</f>
        <v/>
      </c>
      <c r="BI8" s="10">
        <f>Livestock!BI30+Livestock!BI54</f>
        <v/>
      </c>
      <c r="BJ8" s="10">
        <f>Livestock!BJ30+Livestock!BJ54</f>
        <v/>
      </c>
      <c r="BK8" s="10">
        <f>Livestock!BK30+Livestock!BK54</f>
        <v/>
      </c>
      <c r="BL8" s="10">
        <f>Livestock!BL30+Livestock!BL54</f>
        <v/>
      </c>
      <c r="BM8" s="10">
        <f>Livestock!BM30+Livestock!BM54</f>
        <v/>
      </c>
      <c r="BN8" s="10">
        <f>Livestock!BN30+Livestock!BN54</f>
        <v/>
      </c>
      <c r="BO8" s="10">
        <f>Livestock!BO30+Livestock!BO54</f>
        <v/>
      </c>
      <c r="BP8" s="10">
        <f>Livestock!BP30+Livestock!BP54</f>
        <v/>
      </c>
      <c r="BQ8" s="10">
        <f>Livestock!BQ30+Livestock!BQ54</f>
        <v/>
      </c>
      <c r="BR8" s="10">
        <f>Livestock!BR30+Livestock!BR54</f>
        <v/>
      </c>
      <c r="BS8" s="10">
        <f>Livestock!BS30+Livestock!BS54</f>
        <v/>
      </c>
      <c r="BT8" s="10">
        <f>Livestock!BT30+Livestock!BT54</f>
        <v/>
      </c>
      <c r="BU8" s="10">
        <f>Livestock!BU30+Livestock!BU54</f>
        <v/>
      </c>
      <c r="BV8" s="10">
        <f>Livestock!BV30+Livestock!BV54</f>
        <v/>
      </c>
      <c r="BW8" s="10">
        <f>Livestock!BW30+Livestock!BW54</f>
        <v/>
      </c>
      <c r="BX8" s="10">
        <f>Livestock!BX30+Livestock!BX54</f>
        <v/>
      </c>
      <c r="BY8" s="10">
        <f>Livestock!BY30+Livestock!BY54</f>
        <v/>
      </c>
      <c r="BZ8" s="10">
        <f>Livestock!BZ30+Livestock!BZ54</f>
        <v/>
      </c>
      <c r="CA8" s="10">
        <f>Livestock!CA30+Livestock!CA54</f>
        <v/>
      </c>
      <c r="CB8" s="10">
        <f>Livestock!CB30+Livestock!CB54</f>
        <v/>
      </c>
      <c r="CC8" s="10">
        <f>Livestock!CC30+Livestock!CC54</f>
        <v/>
      </c>
      <c r="CD8" s="10">
        <f>Livestock!CD30+Livestock!CD54</f>
        <v/>
      </c>
      <c r="CE8" s="10">
        <f>Livestock!CE30+Livestock!CE54</f>
        <v/>
      </c>
      <c r="CF8" s="10">
        <f>Livestock!CF30+Livestock!CF54</f>
        <v/>
      </c>
      <c r="CG8" s="10">
        <f>Livestock!CG30+Livestock!CG54</f>
        <v/>
      </c>
      <c r="CH8" s="10">
        <f>Livestock!CH30+Livestock!CH54</f>
        <v/>
      </c>
      <c r="CI8" s="10">
        <f>Livestock!CI30+Livestock!CI54</f>
        <v/>
      </c>
      <c r="CJ8" s="10">
        <f>Livestock!CJ30+Livestock!CJ54</f>
        <v/>
      </c>
      <c r="CK8" s="10">
        <f>Livestock!CK30+Livestock!CK54</f>
        <v/>
      </c>
      <c r="CL8" s="10">
        <f>Livestock!CL30+Livestock!CL54</f>
        <v/>
      </c>
      <c r="CM8" s="10">
        <f>Livestock!CM30+Livestock!CM54</f>
        <v/>
      </c>
      <c r="CN8" s="10">
        <f>Livestock!CN30+Livestock!CN54</f>
        <v/>
      </c>
      <c r="CO8" s="10">
        <f>Livestock!CO30+Livestock!CO54</f>
        <v/>
      </c>
      <c r="CP8" s="10">
        <f>Livestock!CP30+Livestock!CP54</f>
        <v/>
      </c>
      <c r="CQ8" s="10">
        <f>Livestock!CQ30+Livestock!CQ54</f>
        <v/>
      </c>
      <c r="CR8" s="10">
        <f>Livestock!CR30+Livestock!CR54</f>
        <v/>
      </c>
      <c r="CS8" s="10">
        <f>Livestock!CS30+Livestock!CS54</f>
        <v/>
      </c>
      <c r="CT8" s="10">
        <f>Livestock!CT30+Livestock!CT54</f>
        <v/>
      </c>
      <c r="CU8" s="10">
        <f>Livestock!CU30+Livestock!CU54</f>
        <v/>
      </c>
      <c r="CV8" s="10">
        <f>Livestock!CV30+Livestock!CV54</f>
        <v/>
      </c>
      <c r="CW8" s="10">
        <f>Livestock!CW30+Livestock!CW54</f>
        <v/>
      </c>
      <c r="CX8" s="10">
        <f>Livestock!CX30+Livestock!CX54</f>
        <v/>
      </c>
      <c r="CY8" s="10">
        <f>Livestock!CY30+Livestock!CY54</f>
        <v/>
      </c>
      <c r="CZ8" s="10">
        <f>Livestock!CZ30+Livestock!CZ54</f>
        <v/>
      </c>
      <c r="DA8" s="10">
        <f>Livestock!DA30+Livestock!DA54</f>
        <v/>
      </c>
      <c r="DB8" s="10">
        <f>Livestock!DB30+Livestock!DB54</f>
        <v/>
      </c>
      <c r="DC8" s="10">
        <f>Livestock!DC30+Livestock!DC54</f>
        <v/>
      </c>
      <c r="DD8" s="10">
        <f>Livestock!DD30+Livestock!DD54</f>
        <v/>
      </c>
      <c r="DE8" s="10">
        <f>Livestock!DE30+Livestock!DE54</f>
        <v/>
      </c>
      <c r="DF8" s="10">
        <f>Livestock!DF30+Livestock!DF54</f>
        <v/>
      </c>
      <c r="DG8" s="10">
        <f>Livestock!DG30+Livestock!DG54</f>
        <v/>
      </c>
      <c r="DH8" s="10">
        <f>Livestock!DH30+Livestock!DH54</f>
        <v/>
      </c>
      <c r="DI8" s="10">
        <f>Livestock!DI30+Livestock!DI54</f>
        <v/>
      </c>
      <c r="DJ8" s="10">
        <f>Livestock!DJ30+Livestock!DJ54</f>
        <v/>
      </c>
      <c r="DK8" s="10">
        <f>Livestock!DK30+Livestock!DK54</f>
        <v/>
      </c>
      <c r="DL8" s="10">
        <f>Livestock!DL30+Livestock!DL54</f>
        <v/>
      </c>
      <c r="DM8" s="10">
        <f>Livestock!DM30+Livestock!DM54</f>
        <v/>
      </c>
      <c r="DN8" s="10">
        <f>Livestock!DN30+Livestock!DN54</f>
        <v/>
      </c>
      <c r="DO8" s="10">
        <f>Livestock!DO30+Livestock!DO54</f>
        <v/>
      </c>
      <c r="DP8" s="10">
        <f>Livestock!DP30+Livestock!DP54</f>
        <v/>
      </c>
      <c r="DQ8" s="10">
        <f>Livestock!DQ30+Livestock!DQ54</f>
        <v/>
      </c>
      <c r="DR8" s="10">
        <f>Livestock!DR30+Livestock!DR54</f>
        <v/>
      </c>
      <c r="DS8" s="10">
        <f>Livestock!DS30+Livestock!DS54</f>
        <v/>
      </c>
    </row>
    <row r="9">
      <c r="A9" s="2" t="inlineStr">
        <is>
          <t>FD_READY</t>
        </is>
      </c>
      <c r="B9" s="6" t="inlineStr">
        <is>
          <t>Forage established (1 = yes)</t>
        </is>
      </c>
      <c r="C9" s="2" t="inlineStr">
        <is>
          <t>flag</t>
        </is>
      </c>
      <c r="D9" s="28">
        <f>IF(D$3&gt;=Control!$C$12+Assumptions!$H$59,1,0)</f>
        <v/>
      </c>
      <c r="E9" s="28">
        <f>IF(E$3&gt;=Control!$C$12+Assumptions!$H$59,1,0)</f>
        <v/>
      </c>
      <c r="F9" s="28">
        <f>IF(F$3&gt;=Control!$C$12+Assumptions!$H$59,1,0)</f>
        <v/>
      </c>
      <c r="G9" s="28">
        <f>IF(G$3&gt;=Control!$C$12+Assumptions!$H$59,1,0)</f>
        <v/>
      </c>
      <c r="H9" s="28">
        <f>IF(H$3&gt;=Control!$C$12+Assumptions!$H$59,1,0)</f>
        <v/>
      </c>
      <c r="I9" s="28">
        <f>IF(I$3&gt;=Control!$C$12+Assumptions!$H$59,1,0)</f>
        <v/>
      </c>
      <c r="J9" s="28">
        <f>IF(J$3&gt;=Control!$C$12+Assumptions!$H$59,1,0)</f>
        <v/>
      </c>
      <c r="K9" s="28">
        <f>IF(K$3&gt;=Control!$C$12+Assumptions!$H$59,1,0)</f>
        <v/>
      </c>
      <c r="L9" s="28">
        <f>IF(L$3&gt;=Control!$C$12+Assumptions!$H$59,1,0)</f>
        <v/>
      </c>
      <c r="M9" s="28">
        <f>IF(M$3&gt;=Control!$C$12+Assumptions!$H$59,1,0)</f>
        <v/>
      </c>
      <c r="N9" s="28">
        <f>IF(N$3&gt;=Control!$C$12+Assumptions!$H$59,1,0)</f>
        <v/>
      </c>
      <c r="O9" s="28">
        <f>IF(O$3&gt;=Control!$C$12+Assumptions!$H$59,1,0)</f>
        <v/>
      </c>
      <c r="P9" s="28">
        <f>IF(P$3&gt;=Control!$C$12+Assumptions!$H$59,1,0)</f>
        <v/>
      </c>
      <c r="Q9" s="28">
        <f>IF(Q$3&gt;=Control!$C$12+Assumptions!$H$59,1,0)</f>
        <v/>
      </c>
      <c r="R9" s="28">
        <f>IF(R$3&gt;=Control!$C$12+Assumptions!$H$59,1,0)</f>
        <v/>
      </c>
      <c r="S9" s="28">
        <f>IF(S$3&gt;=Control!$C$12+Assumptions!$H$59,1,0)</f>
        <v/>
      </c>
      <c r="T9" s="28">
        <f>IF(T$3&gt;=Control!$C$12+Assumptions!$H$59,1,0)</f>
        <v/>
      </c>
      <c r="U9" s="28">
        <f>IF(U$3&gt;=Control!$C$12+Assumptions!$H$59,1,0)</f>
        <v/>
      </c>
      <c r="V9" s="28">
        <f>IF(V$3&gt;=Control!$C$12+Assumptions!$H$59,1,0)</f>
        <v/>
      </c>
      <c r="W9" s="28">
        <f>IF(W$3&gt;=Control!$C$12+Assumptions!$H$59,1,0)</f>
        <v/>
      </c>
      <c r="X9" s="28">
        <f>IF(X$3&gt;=Control!$C$12+Assumptions!$H$59,1,0)</f>
        <v/>
      </c>
      <c r="Y9" s="28">
        <f>IF(Y$3&gt;=Control!$C$12+Assumptions!$H$59,1,0)</f>
        <v/>
      </c>
      <c r="Z9" s="28">
        <f>IF(Z$3&gt;=Control!$C$12+Assumptions!$H$59,1,0)</f>
        <v/>
      </c>
      <c r="AA9" s="28">
        <f>IF(AA$3&gt;=Control!$C$12+Assumptions!$H$59,1,0)</f>
        <v/>
      </c>
      <c r="AB9" s="28">
        <f>IF(AB$3&gt;=Control!$C$12+Assumptions!$H$59,1,0)</f>
        <v/>
      </c>
      <c r="AC9" s="28">
        <f>IF(AC$3&gt;=Control!$C$12+Assumptions!$H$59,1,0)</f>
        <v/>
      </c>
      <c r="AD9" s="28">
        <f>IF(AD$3&gt;=Control!$C$12+Assumptions!$H$59,1,0)</f>
        <v/>
      </c>
      <c r="AE9" s="28">
        <f>IF(AE$3&gt;=Control!$C$12+Assumptions!$H$59,1,0)</f>
        <v/>
      </c>
      <c r="AF9" s="28">
        <f>IF(AF$3&gt;=Control!$C$12+Assumptions!$H$59,1,0)</f>
        <v/>
      </c>
      <c r="AG9" s="28">
        <f>IF(AG$3&gt;=Control!$C$12+Assumptions!$H$59,1,0)</f>
        <v/>
      </c>
      <c r="AH9" s="28">
        <f>IF(AH$3&gt;=Control!$C$12+Assumptions!$H$59,1,0)</f>
        <v/>
      </c>
      <c r="AI9" s="28">
        <f>IF(AI$3&gt;=Control!$C$12+Assumptions!$H$59,1,0)</f>
        <v/>
      </c>
      <c r="AJ9" s="28">
        <f>IF(AJ$3&gt;=Control!$C$12+Assumptions!$H$59,1,0)</f>
        <v/>
      </c>
      <c r="AK9" s="28">
        <f>IF(AK$3&gt;=Control!$C$12+Assumptions!$H$59,1,0)</f>
        <v/>
      </c>
      <c r="AL9" s="28">
        <f>IF(AL$3&gt;=Control!$C$12+Assumptions!$H$59,1,0)</f>
        <v/>
      </c>
      <c r="AM9" s="28">
        <f>IF(AM$3&gt;=Control!$C$12+Assumptions!$H$59,1,0)</f>
        <v/>
      </c>
      <c r="AN9" s="28">
        <f>IF(AN$3&gt;=Control!$C$12+Assumptions!$H$59,1,0)</f>
        <v/>
      </c>
      <c r="AO9" s="28">
        <f>IF(AO$3&gt;=Control!$C$12+Assumptions!$H$59,1,0)</f>
        <v/>
      </c>
      <c r="AP9" s="28">
        <f>IF(AP$3&gt;=Control!$C$12+Assumptions!$H$59,1,0)</f>
        <v/>
      </c>
      <c r="AQ9" s="28">
        <f>IF(AQ$3&gt;=Control!$C$12+Assumptions!$H$59,1,0)</f>
        <v/>
      </c>
      <c r="AR9" s="28">
        <f>IF(AR$3&gt;=Control!$C$12+Assumptions!$H$59,1,0)</f>
        <v/>
      </c>
      <c r="AS9" s="28">
        <f>IF(AS$3&gt;=Control!$C$12+Assumptions!$H$59,1,0)</f>
        <v/>
      </c>
      <c r="AT9" s="28">
        <f>IF(AT$3&gt;=Control!$C$12+Assumptions!$H$59,1,0)</f>
        <v/>
      </c>
      <c r="AU9" s="28">
        <f>IF(AU$3&gt;=Control!$C$12+Assumptions!$H$59,1,0)</f>
        <v/>
      </c>
      <c r="AV9" s="28">
        <f>IF(AV$3&gt;=Control!$C$12+Assumptions!$H$59,1,0)</f>
        <v/>
      </c>
      <c r="AW9" s="28">
        <f>IF(AW$3&gt;=Control!$C$12+Assumptions!$H$59,1,0)</f>
        <v/>
      </c>
      <c r="AX9" s="28">
        <f>IF(AX$3&gt;=Control!$C$12+Assumptions!$H$59,1,0)</f>
        <v/>
      </c>
      <c r="AY9" s="28">
        <f>IF(AY$3&gt;=Control!$C$12+Assumptions!$H$59,1,0)</f>
        <v/>
      </c>
      <c r="AZ9" s="28">
        <f>IF(AZ$3&gt;=Control!$C$12+Assumptions!$H$59,1,0)</f>
        <v/>
      </c>
      <c r="BA9" s="28">
        <f>IF(BA$3&gt;=Control!$C$12+Assumptions!$H$59,1,0)</f>
        <v/>
      </c>
      <c r="BB9" s="28">
        <f>IF(BB$3&gt;=Control!$C$12+Assumptions!$H$59,1,0)</f>
        <v/>
      </c>
      <c r="BC9" s="28">
        <f>IF(BC$3&gt;=Control!$C$12+Assumptions!$H$59,1,0)</f>
        <v/>
      </c>
      <c r="BD9" s="28">
        <f>IF(BD$3&gt;=Control!$C$12+Assumptions!$H$59,1,0)</f>
        <v/>
      </c>
      <c r="BE9" s="28">
        <f>IF(BE$3&gt;=Control!$C$12+Assumptions!$H$59,1,0)</f>
        <v/>
      </c>
      <c r="BF9" s="28">
        <f>IF(BF$3&gt;=Control!$C$12+Assumptions!$H$59,1,0)</f>
        <v/>
      </c>
      <c r="BG9" s="28">
        <f>IF(BG$3&gt;=Control!$C$12+Assumptions!$H$59,1,0)</f>
        <v/>
      </c>
      <c r="BH9" s="28">
        <f>IF(BH$3&gt;=Control!$C$12+Assumptions!$H$59,1,0)</f>
        <v/>
      </c>
      <c r="BI9" s="28">
        <f>IF(BI$3&gt;=Control!$C$12+Assumptions!$H$59,1,0)</f>
        <v/>
      </c>
      <c r="BJ9" s="28">
        <f>IF(BJ$3&gt;=Control!$C$12+Assumptions!$H$59,1,0)</f>
        <v/>
      </c>
      <c r="BK9" s="28">
        <f>IF(BK$3&gt;=Control!$C$12+Assumptions!$H$59,1,0)</f>
        <v/>
      </c>
      <c r="BL9" s="28">
        <f>IF(BL$3&gt;=Control!$C$12+Assumptions!$H$59,1,0)</f>
        <v/>
      </c>
      <c r="BM9" s="28">
        <f>IF(BM$3&gt;=Control!$C$12+Assumptions!$H$59,1,0)</f>
        <v/>
      </c>
      <c r="BN9" s="28">
        <f>IF(BN$3&gt;=Control!$C$12+Assumptions!$H$59,1,0)</f>
        <v/>
      </c>
      <c r="BO9" s="28">
        <f>IF(BO$3&gt;=Control!$C$12+Assumptions!$H$59,1,0)</f>
        <v/>
      </c>
      <c r="BP9" s="28">
        <f>IF(BP$3&gt;=Control!$C$12+Assumptions!$H$59,1,0)</f>
        <v/>
      </c>
      <c r="BQ9" s="28">
        <f>IF(BQ$3&gt;=Control!$C$12+Assumptions!$H$59,1,0)</f>
        <v/>
      </c>
      <c r="BR9" s="28">
        <f>IF(BR$3&gt;=Control!$C$12+Assumptions!$H$59,1,0)</f>
        <v/>
      </c>
      <c r="BS9" s="28">
        <f>IF(BS$3&gt;=Control!$C$12+Assumptions!$H$59,1,0)</f>
        <v/>
      </c>
      <c r="BT9" s="28">
        <f>IF(BT$3&gt;=Control!$C$12+Assumptions!$H$59,1,0)</f>
        <v/>
      </c>
      <c r="BU9" s="28">
        <f>IF(BU$3&gt;=Control!$C$12+Assumptions!$H$59,1,0)</f>
        <v/>
      </c>
      <c r="BV9" s="28">
        <f>IF(BV$3&gt;=Control!$C$12+Assumptions!$H$59,1,0)</f>
        <v/>
      </c>
      <c r="BW9" s="28">
        <f>IF(BW$3&gt;=Control!$C$12+Assumptions!$H$59,1,0)</f>
        <v/>
      </c>
      <c r="BX9" s="28">
        <f>IF(BX$3&gt;=Control!$C$12+Assumptions!$H$59,1,0)</f>
        <v/>
      </c>
      <c r="BY9" s="28">
        <f>IF(BY$3&gt;=Control!$C$12+Assumptions!$H$59,1,0)</f>
        <v/>
      </c>
      <c r="BZ9" s="28">
        <f>IF(BZ$3&gt;=Control!$C$12+Assumptions!$H$59,1,0)</f>
        <v/>
      </c>
      <c r="CA9" s="28">
        <f>IF(CA$3&gt;=Control!$C$12+Assumptions!$H$59,1,0)</f>
        <v/>
      </c>
      <c r="CB9" s="28">
        <f>IF(CB$3&gt;=Control!$C$12+Assumptions!$H$59,1,0)</f>
        <v/>
      </c>
      <c r="CC9" s="28">
        <f>IF(CC$3&gt;=Control!$C$12+Assumptions!$H$59,1,0)</f>
        <v/>
      </c>
      <c r="CD9" s="28">
        <f>IF(CD$3&gt;=Control!$C$12+Assumptions!$H$59,1,0)</f>
        <v/>
      </c>
      <c r="CE9" s="28">
        <f>IF(CE$3&gt;=Control!$C$12+Assumptions!$H$59,1,0)</f>
        <v/>
      </c>
      <c r="CF9" s="28">
        <f>IF(CF$3&gt;=Control!$C$12+Assumptions!$H$59,1,0)</f>
        <v/>
      </c>
      <c r="CG9" s="28">
        <f>IF(CG$3&gt;=Control!$C$12+Assumptions!$H$59,1,0)</f>
        <v/>
      </c>
      <c r="CH9" s="28">
        <f>IF(CH$3&gt;=Control!$C$12+Assumptions!$H$59,1,0)</f>
        <v/>
      </c>
      <c r="CI9" s="28">
        <f>IF(CI$3&gt;=Control!$C$12+Assumptions!$H$59,1,0)</f>
        <v/>
      </c>
      <c r="CJ9" s="28">
        <f>IF(CJ$3&gt;=Control!$C$12+Assumptions!$H$59,1,0)</f>
        <v/>
      </c>
      <c r="CK9" s="28">
        <f>IF(CK$3&gt;=Control!$C$12+Assumptions!$H$59,1,0)</f>
        <v/>
      </c>
      <c r="CL9" s="28">
        <f>IF(CL$3&gt;=Control!$C$12+Assumptions!$H$59,1,0)</f>
        <v/>
      </c>
      <c r="CM9" s="28">
        <f>IF(CM$3&gt;=Control!$C$12+Assumptions!$H$59,1,0)</f>
        <v/>
      </c>
      <c r="CN9" s="28">
        <f>IF(CN$3&gt;=Control!$C$12+Assumptions!$H$59,1,0)</f>
        <v/>
      </c>
      <c r="CO9" s="28">
        <f>IF(CO$3&gt;=Control!$C$12+Assumptions!$H$59,1,0)</f>
        <v/>
      </c>
      <c r="CP9" s="28">
        <f>IF(CP$3&gt;=Control!$C$12+Assumptions!$H$59,1,0)</f>
        <v/>
      </c>
      <c r="CQ9" s="28">
        <f>IF(CQ$3&gt;=Control!$C$12+Assumptions!$H$59,1,0)</f>
        <v/>
      </c>
      <c r="CR9" s="28">
        <f>IF(CR$3&gt;=Control!$C$12+Assumptions!$H$59,1,0)</f>
        <v/>
      </c>
      <c r="CS9" s="28">
        <f>IF(CS$3&gt;=Control!$C$12+Assumptions!$H$59,1,0)</f>
        <v/>
      </c>
      <c r="CT9" s="28">
        <f>IF(CT$3&gt;=Control!$C$12+Assumptions!$H$59,1,0)</f>
        <v/>
      </c>
      <c r="CU9" s="28">
        <f>IF(CU$3&gt;=Control!$C$12+Assumptions!$H$59,1,0)</f>
        <v/>
      </c>
      <c r="CV9" s="28">
        <f>IF(CV$3&gt;=Control!$C$12+Assumptions!$H$59,1,0)</f>
        <v/>
      </c>
      <c r="CW9" s="28">
        <f>IF(CW$3&gt;=Control!$C$12+Assumptions!$H$59,1,0)</f>
        <v/>
      </c>
      <c r="CX9" s="28">
        <f>IF(CX$3&gt;=Control!$C$12+Assumptions!$H$59,1,0)</f>
        <v/>
      </c>
      <c r="CY9" s="28">
        <f>IF(CY$3&gt;=Control!$C$12+Assumptions!$H$59,1,0)</f>
        <v/>
      </c>
      <c r="CZ9" s="28">
        <f>IF(CZ$3&gt;=Control!$C$12+Assumptions!$H$59,1,0)</f>
        <v/>
      </c>
      <c r="DA9" s="28">
        <f>IF(DA$3&gt;=Control!$C$12+Assumptions!$H$59,1,0)</f>
        <v/>
      </c>
      <c r="DB9" s="28">
        <f>IF(DB$3&gt;=Control!$C$12+Assumptions!$H$59,1,0)</f>
        <v/>
      </c>
      <c r="DC9" s="28">
        <f>IF(DC$3&gt;=Control!$C$12+Assumptions!$H$59,1,0)</f>
        <v/>
      </c>
      <c r="DD9" s="28">
        <f>IF(DD$3&gt;=Control!$C$12+Assumptions!$H$59,1,0)</f>
        <v/>
      </c>
      <c r="DE9" s="28">
        <f>IF(DE$3&gt;=Control!$C$12+Assumptions!$H$59,1,0)</f>
        <v/>
      </c>
      <c r="DF9" s="28">
        <f>IF(DF$3&gt;=Control!$C$12+Assumptions!$H$59,1,0)</f>
        <v/>
      </c>
      <c r="DG9" s="28">
        <f>IF(DG$3&gt;=Control!$C$12+Assumptions!$H$59,1,0)</f>
        <v/>
      </c>
      <c r="DH9" s="28">
        <f>IF(DH$3&gt;=Control!$C$12+Assumptions!$H$59,1,0)</f>
        <v/>
      </c>
      <c r="DI9" s="28">
        <f>IF(DI$3&gt;=Control!$C$12+Assumptions!$H$59,1,0)</f>
        <v/>
      </c>
      <c r="DJ9" s="28">
        <f>IF(DJ$3&gt;=Control!$C$12+Assumptions!$H$59,1,0)</f>
        <v/>
      </c>
      <c r="DK9" s="28">
        <f>IF(DK$3&gt;=Control!$C$12+Assumptions!$H$59,1,0)</f>
        <v/>
      </c>
      <c r="DL9" s="28">
        <f>IF(DL$3&gt;=Control!$C$12+Assumptions!$H$59,1,0)</f>
        <v/>
      </c>
      <c r="DM9" s="28">
        <f>IF(DM$3&gt;=Control!$C$12+Assumptions!$H$59,1,0)</f>
        <v/>
      </c>
      <c r="DN9" s="28">
        <f>IF(DN$3&gt;=Control!$C$12+Assumptions!$H$59,1,0)</f>
        <v/>
      </c>
      <c r="DO9" s="28">
        <f>IF(DO$3&gt;=Control!$C$12+Assumptions!$H$59,1,0)</f>
        <v/>
      </c>
      <c r="DP9" s="28">
        <f>IF(DP$3&gt;=Control!$C$12+Assumptions!$H$59,1,0)</f>
        <v/>
      </c>
      <c r="DQ9" s="28">
        <f>IF(DQ$3&gt;=Control!$C$12+Assumptions!$H$59,1,0)</f>
        <v/>
      </c>
      <c r="DR9" s="28">
        <f>IF(DR$3&gt;=Control!$C$12+Assumptions!$H$59,1,0)</f>
        <v/>
      </c>
      <c r="DS9" s="28">
        <f>IF(DS$3&gt;=Control!$C$12+Assumptions!$H$59,1,0)</f>
        <v/>
      </c>
    </row>
    <row r="10">
      <c r="A10" s="2" t="inlineStr">
        <is>
          <t>FD_SUPPLY</t>
        </is>
      </c>
      <c r="B10" s="6" t="inlineStr">
        <is>
          <t>Forage available to animals</t>
        </is>
      </c>
      <c r="C10" s="2" t="inlineStr">
        <is>
          <t>kg DM</t>
        </is>
      </c>
      <c r="D10" s="25">
        <f>(Land!$C$12*Assumptions!$H$52*1000*Assumptions!$H$54+Land!$C$13*Assumptions!$H$53*1000*Assumptions!$H$55)/12*INDEX(Curves!$D$25:$O$25,1,D$5)*D9</f>
        <v/>
      </c>
      <c r="E10" s="25">
        <f>(Land!$C$12*Assumptions!$H$52*1000*Assumptions!$H$54+Land!$C$13*Assumptions!$H$53*1000*Assumptions!$H$55)/12*INDEX(Curves!$D$25:$O$25,1,E$5)*E9</f>
        <v/>
      </c>
      <c r="F10" s="25">
        <f>(Land!$C$12*Assumptions!$H$52*1000*Assumptions!$H$54+Land!$C$13*Assumptions!$H$53*1000*Assumptions!$H$55)/12*INDEX(Curves!$D$25:$O$25,1,F$5)*F9</f>
        <v/>
      </c>
      <c r="G10" s="25">
        <f>(Land!$C$12*Assumptions!$H$52*1000*Assumptions!$H$54+Land!$C$13*Assumptions!$H$53*1000*Assumptions!$H$55)/12*INDEX(Curves!$D$25:$O$25,1,G$5)*G9</f>
        <v/>
      </c>
      <c r="H10" s="25">
        <f>(Land!$C$12*Assumptions!$H$52*1000*Assumptions!$H$54+Land!$C$13*Assumptions!$H$53*1000*Assumptions!$H$55)/12*INDEX(Curves!$D$25:$O$25,1,H$5)*H9</f>
        <v/>
      </c>
      <c r="I10" s="25">
        <f>(Land!$C$12*Assumptions!$H$52*1000*Assumptions!$H$54+Land!$C$13*Assumptions!$H$53*1000*Assumptions!$H$55)/12*INDEX(Curves!$D$25:$O$25,1,I$5)*I9</f>
        <v/>
      </c>
      <c r="J10" s="25">
        <f>(Land!$C$12*Assumptions!$H$52*1000*Assumptions!$H$54+Land!$C$13*Assumptions!$H$53*1000*Assumptions!$H$55)/12*INDEX(Curves!$D$25:$O$25,1,J$5)*J9</f>
        <v/>
      </c>
      <c r="K10" s="25">
        <f>(Land!$C$12*Assumptions!$H$52*1000*Assumptions!$H$54+Land!$C$13*Assumptions!$H$53*1000*Assumptions!$H$55)/12*INDEX(Curves!$D$25:$O$25,1,K$5)*K9</f>
        <v/>
      </c>
      <c r="L10" s="25">
        <f>(Land!$C$12*Assumptions!$H$52*1000*Assumptions!$H$54+Land!$C$13*Assumptions!$H$53*1000*Assumptions!$H$55)/12*INDEX(Curves!$D$25:$O$25,1,L$5)*L9</f>
        <v/>
      </c>
      <c r="M10" s="25">
        <f>(Land!$C$12*Assumptions!$H$52*1000*Assumptions!$H$54+Land!$C$13*Assumptions!$H$53*1000*Assumptions!$H$55)/12*INDEX(Curves!$D$25:$O$25,1,M$5)*M9</f>
        <v/>
      </c>
      <c r="N10" s="25">
        <f>(Land!$C$12*Assumptions!$H$52*1000*Assumptions!$H$54+Land!$C$13*Assumptions!$H$53*1000*Assumptions!$H$55)/12*INDEX(Curves!$D$25:$O$25,1,N$5)*N9</f>
        <v/>
      </c>
      <c r="O10" s="25">
        <f>(Land!$C$12*Assumptions!$H$52*1000*Assumptions!$H$54+Land!$C$13*Assumptions!$H$53*1000*Assumptions!$H$55)/12*INDEX(Curves!$D$25:$O$25,1,O$5)*O9</f>
        <v/>
      </c>
      <c r="P10" s="25">
        <f>(Land!$C$12*Assumptions!$H$52*1000*Assumptions!$H$54+Land!$C$13*Assumptions!$H$53*1000*Assumptions!$H$55)/12*INDEX(Curves!$D$25:$O$25,1,P$5)*P9</f>
        <v/>
      </c>
      <c r="Q10" s="25">
        <f>(Land!$C$12*Assumptions!$H$52*1000*Assumptions!$H$54+Land!$C$13*Assumptions!$H$53*1000*Assumptions!$H$55)/12*INDEX(Curves!$D$25:$O$25,1,Q$5)*Q9</f>
        <v/>
      </c>
      <c r="R10" s="25">
        <f>(Land!$C$12*Assumptions!$H$52*1000*Assumptions!$H$54+Land!$C$13*Assumptions!$H$53*1000*Assumptions!$H$55)/12*INDEX(Curves!$D$25:$O$25,1,R$5)*R9</f>
        <v/>
      </c>
      <c r="S10" s="25">
        <f>(Land!$C$12*Assumptions!$H$52*1000*Assumptions!$H$54+Land!$C$13*Assumptions!$H$53*1000*Assumptions!$H$55)/12*INDEX(Curves!$D$25:$O$25,1,S$5)*S9</f>
        <v/>
      </c>
      <c r="T10" s="25">
        <f>(Land!$C$12*Assumptions!$H$52*1000*Assumptions!$H$54+Land!$C$13*Assumptions!$H$53*1000*Assumptions!$H$55)/12*INDEX(Curves!$D$25:$O$25,1,T$5)*T9</f>
        <v/>
      </c>
      <c r="U10" s="25">
        <f>(Land!$C$12*Assumptions!$H$52*1000*Assumptions!$H$54+Land!$C$13*Assumptions!$H$53*1000*Assumptions!$H$55)/12*INDEX(Curves!$D$25:$O$25,1,U$5)*U9</f>
        <v/>
      </c>
      <c r="V10" s="25">
        <f>(Land!$C$12*Assumptions!$H$52*1000*Assumptions!$H$54+Land!$C$13*Assumptions!$H$53*1000*Assumptions!$H$55)/12*INDEX(Curves!$D$25:$O$25,1,V$5)*V9</f>
        <v/>
      </c>
      <c r="W10" s="25">
        <f>(Land!$C$12*Assumptions!$H$52*1000*Assumptions!$H$54+Land!$C$13*Assumptions!$H$53*1000*Assumptions!$H$55)/12*INDEX(Curves!$D$25:$O$25,1,W$5)*W9</f>
        <v/>
      </c>
      <c r="X10" s="25">
        <f>(Land!$C$12*Assumptions!$H$52*1000*Assumptions!$H$54+Land!$C$13*Assumptions!$H$53*1000*Assumptions!$H$55)/12*INDEX(Curves!$D$25:$O$25,1,X$5)*X9</f>
        <v/>
      </c>
      <c r="Y10" s="25">
        <f>(Land!$C$12*Assumptions!$H$52*1000*Assumptions!$H$54+Land!$C$13*Assumptions!$H$53*1000*Assumptions!$H$55)/12*INDEX(Curves!$D$25:$O$25,1,Y$5)*Y9</f>
        <v/>
      </c>
      <c r="Z10" s="25">
        <f>(Land!$C$12*Assumptions!$H$52*1000*Assumptions!$H$54+Land!$C$13*Assumptions!$H$53*1000*Assumptions!$H$55)/12*INDEX(Curves!$D$25:$O$25,1,Z$5)*Z9</f>
        <v/>
      </c>
      <c r="AA10" s="25">
        <f>(Land!$C$12*Assumptions!$H$52*1000*Assumptions!$H$54+Land!$C$13*Assumptions!$H$53*1000*Assumptions!$H$55)/12*INDEX(Curves!$D$25:$O$25,1,AA$5)*AA9</f>
        <v/>
      </c>
      <c r="AB10" s="25">
        <f>(Land!$C$12*Assumptions!$H$52*1000*Assumptions!$H$54+Land!$C$13*Assumptions!$H$53*1000*Assumptions!$H$55)/12*INDEX(Curves!$D$25:$O$25,1,AB$5)*AB9</f>
        <v/>
      </c>
      <c r="AC10" s="25">
        <f>(Land!$C$12*Assumptions!$H$52*1000*Assumptions!$H$54+Land!$C$13*Assumptions!$H$53*1000*Assumptions!$H$55)/12*INDEX(Curves!$D$25:$O$25,1,AC$5)*AC9</f>
        <v/>
      </c>
      <c r="AD10" s="25">
        <f>(Land!$C$12*Assumptions!$H$52*1000*Assumptions!$H$54+Land!$C$13*Assumptions!$H$53*1000*Assumptions!$H$55)/12*INDEX(Curves!$D$25:$O$25,1,AD$5)*AD9</f>
        <v/>
      </c>
      <c r="AE10" s="25">
        <f>(Land!$C$12*Assumptions!$H$52*1000*Assumptions!$H$54+Land!$C$13*Assumptions!$H$53*1000*Assumptions!$H$55)/12*INDEX(Curves!$D$25:$O$25,1,AE$5)*AE9</f>
        <v/>
      </c>
      <c r="AF10" s="25">
        <f>(Land!$C$12*Assumptions!$H$52*1000*Assumptions!$H$54+Land!$C$13*Assumptions!$H$53*1000*Assumptions!$H$55)/12*INDEX(Curves!$D$25:$O$25,1,AF$5)*AF9</f>
        <v/>
      </c>
      <c r="AG10" s="25">
        <f>(Land!$C$12*Assumptions!$H$52*1000*Assumptions!$H$54+Land!$C$13*Assumptions!$H$53*1000*Assumptions!$H$55)/12*INDEX(Curves!$D$25:$O$25,1,AG$5)*AG9</f>
        <v/>
      </c>
      <c r="AH10" s="25">
        <f>(Land!$C$12*Assumptions!$H$52*1000*Assumptions!$H$54+Land!$C$13*Assumptions!$H$53*1000*Assumptions!$H$55)/12*INDEX(Curves!$D$25:$O$25,1,AH$5)*AH9</f>
        <v/>
      </c>
      <c r="AI10" s="25">
        <f>(Land!$C$12*Assumptions!$H$52*1000*Assumptions!$H$54+Land!$C$13*Assumptions!$H$53*1000*Assumptions!$H$55)/12*INDEX(Curves!$D$25:$O$25,1,AI$5)*AI9</f>
        <v/>
      </c>
      <c r="AJ10" s="25">
        <f>(Land!$C$12*Assumptions!$H$52*1000*Assumptions!$H$54+Land!$C$13*Assumptions!$H$53*1000*Assumptions!$H$55)/12*INDEX(Curves!$D$25:$O$25,1,AJ$5)*AJ9</f>
        <v/>
      </c>
      <c r="AK10" s="25">
        <f>(Land!$C$12*Assumptions!$H$52*1000*Assumptions!$H$54+Land!$C$13*Assumptions!$H$53*1000*Assumptions!$H$55)/12*INDEX(Curves!$D$25:$O$25,1,AK$5)*AK9</f>
        <v/>
      </c>
      <c r="AL10" s="25">
        <f>(Land!$C$12*Assumptions!$H$52*1000*Assumptions!$H$54+Land!$C$13*Assumptions!$H$53*1000*Assumptions!$H$55)/12*INDEX(Curves!$D$25:$O$25,1,AL$5)*AL9</f>
        <v/>
      </c>
      <c r="AM10" s="25">
        <f>(Land!$C$12*Assumptions!$H$52*1000*Assumptions!$H$54+Land!$C$13*Assumptions!$H$53*1000*Assumptions!$H$55)/12*INDEX(Curves!$D$25:$O$25,1,AM$5)*AM9</f>
        <v/>
      </c>
      <c r="AN10" s="25">
        <f>(Land!$C$12*Assumptions!$H$52*1000*Assumptions!$H$54+Land!$C$13*Assumptions!$H$53*1000*Assumptions!$H$55)/12*INDEX(Curves!$D$25:$O$25,1,AN$5)*AN9</f>
        <v/>
      </c>
      <c r="AO10" s="25">
        <f>(Land!$C$12*Assumptions!$H$52*1000*Assumptions!$H$54+Land!$C$13*Assumptions!$H$53*1000*Assumptions!$H$55)/12*INDEX(Curves!$D$25:$O$25,1,AO$5)*AO9</f>
        <v/>
      </c>
      <c r="AP10" s="25">
        <f>(Land!$C$12*Assumptions!$H$52*1000*Assumptions!$H$54+Land!$C$13*Assumptions!$H$53*1000*Assumptions!$H$55)/12*INDEX(Curves!$D$25:$O$25,1,AP$5)*AP9</f>
        <v/>
      </c>
      <c r="AQ10" s="25">
        <f>(Land!$C$12*Assumptions!$H$52*1000*Assumptions!$H$54+Land!$C$13*Assumptions!$H$53*1000*Assumptions!$H$55)/12*INDEX(Curves!$D$25:$O$25,1,AQ$5)*AQ9</f>
        <v/>
      </c>
      <c r="AR10" s="25">
        <f>(Land!$C$12*Assumptions!$H$52*1000*Assumptions!$H$54+Land!$C$13*Assumptions!$H$53*1000*Assumptions!$H$55)/12*INDEX(Curves!$D$25:$O$25,1,AR$5)*AR9</f>
        <v/>
      </c>
      <c r="AS10" s="25">
        <f>(Land!$C$12*Assumptions!$H$52*1000*Assumptions!$H$54+Land!$C$13*Assumptions!$H$53*1000*Assumptions!$H$55)/12*INDEX(Curves!$D$25:$O$25,1,AS$5)*AS9</f>
        <v/>
      </c>
      <c r="AT10" s="25">
        <f>(Land!$C$12*Assumptions!$H$52*1000*Assumptions!$H$54+Land!$C$13*Assumptions!$H$53*1000*Assumptions!$H$55)/12*INDEX(Curves!$D$25:$O$25,1,AT$5)*AT9</f>
        <v/>
      </c>
      <c r="AU10" s="25">
        <f>(Land!$C$12*Assumptions!$H$52*1000*Assumptions!$H$54+Land!$C$13*Assumptions!$H$53*1000*Assumptions!$H$55)/12*INDEX(Curves!$D$25:$O$25,1,AU$5)*AU9</f>
        <v/>
      </c>
      <c r="AV10" s="25">
        <f>(Land!$C$12*Assumptions!$H$52*1000*Assumptions!$H$54+Land!$C$13*Assumptions!$H$53*1000*Assumptions!$H$55)/12*INDEX(Curves!$D$25:$O$25,1,AV$5)*AV9</f>
        <v/>
      </c>
      <c r="AW10" s="25">
        <f>(Land!$C$12*Assumptions!$H$52*1000*Assumptions!$H$54+Land!$C$13*Assumptions!$H$53*1000*Assumptions!$H$55)/12*INDEX(Curves!$D$25:$O$25,1,AW$5)*AW9</f>
        <v/>
      </c>
      <c r="AX10" s="25">
        <f>(Land!$C$12*Assumptions!$H$52*1000*Assumptions!$H$54+Land!$C$13*Assumptions!$H$53*1000*Assumptions!$H$55)/12*INDEX(Curves!$D$25:$O$25,1,AX$5)*AX9</f>
        <v/>
      </c>
      <c r="AY10" s="25">
        <f>(Land!$C$12*Assumptions!$H$52*1000*Assumptions!$H$54+Land!$C$13*Assumptions!$H$53*1000*Assumptions!$H$55)/12*INDEX(Curves!$D$25:$O$25,1,AY$5)*AY9</f>
        <v/>
      </c>
      <c r="AZ10" s="25">
        <f>(Land!$C$12*Assumptions!$H$52*1000*Assumptions!$H$54+Land!$C$13*Assumptions!$H$53*1000*Assumptions!$H$55)/12*INDEX(Curves!$D$25:$O$25,1,AZ$5)*AZ9</f>
        <v/>
      </c>
      <c r="BA10" s="25">
        <f>(Land!$C$12*Assumptions!$H$52*1000*Assumptions!$H$54+Land!$C$13*Assumptions!$H$53*1000*Assumptions!$H$55)/12*INDEX(Curves!$D$25:$O$25,1,BA$5)*BA9</f>
        <v/>
      </c>
      <c r="BB10" s="25">
        <f>(Land!$C$12*Assumptions!$H$52*1000*Assumptions!$H$54+Land!$C$13*Assumptions!$H$53*1000*Assumptions!$H$55)/12*INDEX(Curves!$D$25:$O$25,1,BB$5)*BB9</f>
        <v/>
      </c>
      <c r="BC10" s="25">
        <f>(Land!$C$12*Assumptions!$H$52*1000*Assumptions!$H$54+Land!$C$13*Assumptions!$H$53*1000*Assumptions!$H$55)/12*INDEX(Curves!$D$25:$O$25,1,BC$5)*BC9</f>
        <v/>
      </c>
      <c r="BD10" s="25">
        <f>(Land!$C$12*Assumptions!$H$52*1000*Assumptions!$H$54+Land!$C$13*Assumptions!$H$53*1000*Assumptions!$H$55)/12*INDEX(Curves!$D$25:$O$25,1,BD$5)*BD9</f>
        <v/>
      </c>
      <c r="BE10" s="25">
        <f>(Land!$C$12*Assumptions!$H$52*1000*Assumptions!$H$54+Land!$C$13*Assumptions!$H$53*1000*Assumptions!$H$55)/12*INDEX(Curves!$D$25:$O$25,1,BE$5)*BE9</f>
        <v/>
      </c>
      <c r="BF10" s="25">
        <f>(Land!$C$12*Assumptions!$H$52*1000*Assumptions!$H$54+Land!$C$13*Assumptions!$H$53*1000*Assumptions!$H$55)/12*INDEX(Curves!$D$25:$O$25,1,BF$5)*BF9</f>
        <v/>
      </c>
      <c r="BG10" s="25">
        <f>(Land!$C$12*Assumptions!$H$52*1000*Assumptions!$H$54+Land!$C$13*Assumptions!$H$53*1000*Assumptions!$H$55)/12*INDEX(Curves!$D$25:$O$25,1,BG$5)*BG9</f>
        <v/>
      </c>
      <c r="BH10" s="25">
        <f>(Land!$C$12*Assumptions!$H$52*1000*Assumptions!$H$54+Land!$C$13*Assumptions!$H$53*1000*Assumptions!$H$55)/12*INDEX(Curves!$D$25:$O$25,1,BH$5)*BH9</f>
        <v/>
      </c>
      <c r="BI10" s="25">
        <f>(Land!$C$12*Assumptions!$H$52*1000*Assumptions!$H$54+Land!$C$13*Assumptions!$H$53*1000*Assumptions!$H$55)/12*INDEX(Curves!$D$25:$O$25,1,BI$5)*BI9</f>
        <v/>
      </c>
      <c r="BJ10" s="25">
        <f>(Land!$C$12*Assumptions!$H$52*1000*Assumptions!$H$54+Land!$C$13*Assumptions!$H$53*1000*Assumptions!$H$55)/12*INDEX(Curves!$D$25:$O$25,1,BJ$5)*BJ9</f>
        <v/>
      </c>
      <c r="BK10" s="25">
        <f>(Land!$C$12*Assumptions!$H$52*1000*Assumptions!$H$54+Land!$C$13*Assumptions!$H$53*1000*Assumptions!$H$55)/12*INDEX(Curves!$D$25:$O$25,1,BK$5)*BK9</f>
        <v/>
      </c>
      <c r="BL10" s="25">
        <f>(Land!$C$12*Assumptions!$H$52*1000*Assumptions!$H$54+Land!$C$13*Assumptions!$H$53*1000*Assumptions!$H$55)/12*INDEX(Curves!$D$25:$O$25,1,BL$5)*BL9</f>
        <v/>
      </c>
      <c r="BM10" s="25">
        <f>(Land!$C$12*Assumptions!$H$52*1000*Assumptions!$H$54+Land!$C$13*Assumptions!$H$53*1000*Assumptions!$H$55)/12*INDEX(Curves!$D$25:$O$25,1,BM$5)*BM9</f>
        <v/>
      </c>
      <c r="BN10" s="25">
        <f>(Land!$C$12*Assumptions!$H$52*1000*Assumptions!$H$54+Land!$C$13*Assumptions!$H$53*1000*Assumptions!$H$55)/12*INDEX(Curves!$D$25:$O$25,1,BN$5)*BN9</f>
        <v/>
      </c>
      <c r="BO10" s="25">
        <f>(Land!$C$12*Assumptions!$H$52*1000*Assumptions!$H$54+Land!$C$13*Assumptions!$H$53*1000*Assumptions!$H$55)/12*INDEX(Curves!$D$25:$O$25,1,BO$5)*BO9</f>
        <v/>
      </c>
      <c r="BP10" s="25">
        <f>(Land!$C$12*Assumptions!$H$52*1000*Assumptions!$H$54+Land!$C$13*Assumptions!$H$53*1000*Assumptions!$H$55)/12*INDEX(Curves!$D$25:$O$25,1,BP$5)*BP9</f>
        <v/>
      </c>
      <c r="BQ10" s="25">
        <f>(Land!$C$12*Assumptions!$H$52*1000*Assumptions!$H$54+Land!$C$13*Assumptions!$H$53*1000*Assumptions!$H$55)/12*INDEX(Curves!$D$25:$O$25,1,BQ$5)*BQ9</f>
        <v/>
      </c>
      <c r="BR10" s="25">
        <f>(Land!$C$12*Assumptions!$H$52*1000*Assumptions!$H$54+Land!$C$13*Assumptions!$H$53*1000*Assumptions!$H$55)/12*INDEX(Curves!$D$25:$O$25,1,BR$5)*BR9</f>
        <v/>
      </c>
      <c r="BS10" s="25">
        <f>(Land!$C$12*Assumptions!$H$52*1000*Assumptions!$H$54+Land!$C$13*Assumptions!$H$53*1000*Assumptions!$H$55)/12*INDEX(Curves!$D$25:$O$25,1,BS$5)*BS9</f>
        <v/>
      </c>
      <c r="BT10" s="25">
        <f>(Land!$C$12*Assumptions!$H$52*1000*Assumptions!$H$54+Land!$C$13*Assumptions!$H$53*1000*Assumptions!$H$55)/12*INDEX(Curves!$D$25:$O$25,1,BT$5)*BT9</f>
        <v/>
      </c>
      <c r="BU10" s="25">
        <f>(Land!$C$12*Assumptions!$H$52*1000*Assumptions!$H$54+Land!$C$13*Assumptions!$H$53*1000*Assumptions!$H$55)/12*INDEX(Curves!$D$25:$O$25,1,BU$5)*BU9</f>
        <v/>
      </c>
      <c r="BV10" s="25">
        <f>(Land!$C$12*Assumptions!$H$52*1000*Assumptions!$H$54+Land!$C$13*Assumptions!$H$53*1000*Assumptions!$H$55)/12*INDEX(Curves!$D$25:$O$25,1,BV$5)*BV9</f>
        <v/>
      </c>
      <c r="BW10" s="25">
        <f>(Land!$C$12*Assumptions!$H$52*1000*Assumptions!$H$54+Land!$C$13*Assumptions!$H$53*1000*Assumptions!$H$55)/12*INDEX(Curves!$D$25:$O$25,1,BW$5)*BW9</f>
        <v/>
      </c>
      <c r="BX10" s="25">
        <f>(Land!$C$12*Assumptions!$H$52*1000*Assumptions!$H$54+Land!$C$13*Assumptions!$H$53*1000*Assumptions!$H$55)/12*INDEX(Curves!$D$25:$O$25,1,BX$5)*BX9</f>
        <v/>
      </c>
      <c r="BY10" s="25">
        <f>(Land!$C$12*Assumptions!$H$52*1000*Assumptions!$H$54+Land!$C$13*Assumptions!$H$53*1000*Assumptions!$H$55)/12*INDEX(Curves!$D$25:$O$25,1,BY$5)*BY9</f>
        <v/>
      </c>
      <c r="BZ10" s="25">
        <f>(Land!$C$12*Assumptions!$H$52*1000*Assumptions!$H$54+Land!$C$13*Assumptions!$H$53*1000*Assumptions!$H$55)/12*INDEX(Curves!$D$25:$O$25,1,BZ$5)*BZ9</f>
        <v/>
      </c>
      <c r="CA10" s="25">
        <f>(Land!$C$12*Assumptions!$H$52*1000*Assumptions!$H$54+Land!$C$13*Assumptions!$H$53*1000*Assumptions!$H$55)/12*INDEX(Curves!$D$25:$O$25,1,CA$5)*CA9</f>
        <v/>
      </c>
      <c r="CB10" s="25">
        <f>(Land!$C$12*Assumptions!$H$52*1000*Assumptions!$H$54+Land!$C$13*Assumptions!$H$53*1000*Assumptions!$H$55)/12*INDEX(Curves!$D$25:$O$25,1,CB$5)*CB9</f>
        <v/>
      </c>
      <c r="CC10" s="25">
        <f>(Land!$C$12*Assumptions!$H$52*1000*Assumptions!$H$54+Land!$C$13*Assumptions!$H$53*1000*Assumptions!$H$55)/12*INDEX(Curves!$D$25:$O$25,1,CC$5)*CC9</f>
        <v/>
      </c>
      <c r="CD10" s="25">
        <f>(Land!$C$12*Assumptions!$H$52*1000*Assumptions!$H$54+Land!$C$13*Assumptions!$H$53*1000*Assumptions!$H$55)/12*INDEX(Curves!$D$25:$O$25,1,CD$5)*CD9</f>
        <v/>
      </c>
      <c r="CE10" s="25">
        <f>(Land!$C$12*Assumptions!$H$52*1000*Assumptions!$H$54+Land!$C$13*Assumptions!$H$53*1000*Assumptions!$H$55)/12*INDEX(Curves!$D$25:$O$25,1,CE$5)*CE9</f>
        <v/>
      </c>
      <c r="CF10" s="25">
        <f>(Land!$C$12*Assumptions!$H$52*1000*Assumptions!$H$54+Land!$C$13*Assumptions!$H$53*1000*Assumptions!$H$55)/12*INDEX(Curves!$D$25:$O$25,1,CF$5)*CF9</f>
        <v/>
      </c>
      <c r="CG10" s="25">
        <f>(Land!$C$12*Assumptions!$H$52*1000*Assumptions!$H$54+Land!$C$13*Assumptions!$H$53*1000*Assumptions!$H$55)/12*INDEX(Curves!$D$25:$O$25,1,CG$5)*CG9</f>
        <v/>
      </c>
      <c r="CH10" s="25">
        <f>(Land!$C$12*Assumptions!$H$52*1000*Assumptions!$H$54+Land!$C$13*Assumptions!$H$53*1000*Assumptions!$H$55)/12*INDEX(Curves!$D$25:$O$25,1,CH$5)*CH9</f>
        <v/>
      </c>
      <c r="CI10" s="25">
        <f>(Land!$C$12*Assumptions!$H$52*1000*Assumptions!$H$54+Land!$C$13*Assumptions!$H$53*1000*Assumptions!$H$55)/12*INDEX(Curves!$D$25:$O$25,1,CI$5)*CI9</f>
        <v/>
      </c>
      <c r="CJ10" s="25">
        <f>(Land!$C$12*Assumptions!$H$52*1000*Assumptions!$H$54+Land!$C$13*Assumptions!$H$53*1000*Assumptions!$H$55)/12*INDEX(Curves!$D$25:$O$25,1,CJ$5)*CJ9</f>
        <v/>
      </c>
      <c r="CK10" s="25">
        <f>(Land!$C$12*Assumptions!$H$52*1000*Assumptions!$H$54+Land!$C$13*Assumptions!$H$53*1000*Assumptions!$H$55)/12*INDEX(Curves!$D$25:$O$25,1,CK$5)*CK9</f>
        <v/>
      </c>
      <c r="CL10" s="25">
        <f>(Land!$C$12*Assumptions!$H$52*1000*Assumptions!$H$54+Land!$C$13*Assumptions!$H$53*1000*Assumptions!$H$55)/12*INDEX(Curves!$D$25:$O$25,1,CL$5)*CL9</f>
        <v/>
      </c>
      <c r="CM10" s="25">
        <f>(Land!$C$12*Assumptions!$H$52*1000*Assumptions!$H$54+Land!$C$13*Assumptions!$H$53*1000*Assumptions!$H$55)/12*INDEX(Curves!$D$25:$O$25,1,CM$5)*CM9</f>
        <v/>
      </c>
      <c r="CN10" s="25">
        <f>(Land!$C$12*Assumptions!$H$52*1000*Assumptions!$H$54+Land!$C$13*Assumptions!$H$53*1000*Assumptions!$H$55)/12*INDEX(Curves!$D$25:$O$25,1,CN$5)*CN9</f>
        <v/>
      </c>
      <c r="CO10" s="25">
        <f>(Land!$C$12*Assumptions!$H$52*1000*Assumptions!$H$54+Land!$C$13*Assumptions!$H$53*1000*Assumptions!$H$55)/12*INDEX(Curves!$D$25:$O$25,1,CO$5)*CO9</f>
        <v/>
      </c>
      <c r="CP10" s="25">
        <f>(Land!$C$12*Assumptions!$H$52*1000*Assumptions!$H$54+Land!$C$13*Assumptions!$H$53*1000*Assumptions!$H$55)/12*INDEX(Curves!$D$25:$O$25,1,CP$5)*CP9</f>
        <v/>
      </c>
      <c r="CQ10" s="25">
        <f>(Land!$C$12*Assumptions!$H$52*1000*Assumptions!$H$54+Land!$C$13*Assumptions!$H$53*1000*Assumptions!$H$55)/12*INDEX(Curves!$D$25:$O$25,1,CQ$5)*CQ9</f>
        <v/>
      </c>
      <c r="CR10" s="25">
        <f>(Land!$C$12*Assumptions!$H$52*1000*Assumptions!$H$54+Land!$C$13*Assumptions!$H$53*1000*Assumptions!$H$55)/12*INDEX(Curves!$D$25:$O$25,1,CR$5)*CR9</f>
        <v/>
      </c>
      <c r="CS10" s="25">
        <f>(Land!$C$12*Assumptions!$H$52*1000*Assumptions!$H$54+Land!$C$13*Assumptions!$H$53*1000*Assumptions!$H$55)/12*INDEX(Curves!$D$25:$O$25,1,CS$5)*CS9</f>
        <v/>
      </c>
      <c r="CT10" s="25">
        <f>(Land!$C$12*Assumptions!$H$52*1000*Assumptions!$H$54+Land!$C$13*Assumptions!$H$53*1000*Assumptions!$H$55)/12*INDEX(Curves!$D$25:$O$25,1,CT$5)*CT9</f>
        <v/>
      </c>
      <c r="CU10" s="25">
        <f>(Land!$C$12*Assumptions!$H$52*1000*Assumptions!$H$54+Land!$C$13*Assumptions!$H$53*1000*Assumptions!$H$55)/12*INDEX(Curves!$D$25:$O$25,1,CU$5)*CU9</f>
        <v/>
      </c>
      <c r="CV10" s="25">
        <f>(Land!$C$12*Assumptions!$H$52*1000*Assumptions!$H$54+Land!$C$13*Assumptions!$H$53*1000*Assumptions!$H$55)/12*INDEX(Curves!$D$25:$O$25,1,CV$5)*CV9</f>
        <v/>
      </c>
      <c r="CW10" s="25">
        <f>(Land!$C$12*Assumptions!$H$52*1000*Assumptions!$H$54+Land!$C$13*Assumptions!$H$53*1000*Assumptions!$H$55)/12*INDEX(Curves!$D$25:$O$25,1,CW$5)*CW9</f>
        <v/>
      </c>
      <c r="CX10" s="25">
        <f>(Land!$C$12*Assumptions!$H$52*1000*Assumptions!$H$54+Land!$C$13*Assumptions!$H$53*1000*Assumptions!$H$55)/12*INDEX(Curves!$D$25:$O$25,1,CX$5)*CX9</f>
        <v/>
      </c>
      <c r="CY10" s="25">
        <f>(Land!$C$12*Assumptions!$H$52*1000*Assumptions!$H$54+Land!$C$13*Assumptions!$H$53*1000*Assumptions!$H$55)/12*INDEX(Curves!$D$25:$O$25,1,CY$5)*CY9</f>
        <v/>
      </c>
      <c r="CZ10" s="25">
        <f>(Land!$C$12*Assumptions!$H$52*1000*Assumptions!$H$54+Land!$C$13*Assumptions!$H$53*1000*Assumptions!$H$55)/12*INDEX(Curves!$D$25:$O$25,1,CZ$5)*CZ9</f>
        <v/>
      </c>
      <c r="DA10" s="25">
        <f>(Land!$C$12*Assumptions!$H$52*1000*Assumptions!$H$54+Land!$C$13*Assumptions!$H$53*1000*Assumptions!$H$55)/12*INDEX(Curves!$D$25:$O$25,1,DA$5)*DA9</f>
        <v/>
      </c>
      <c r="DB10" s="25">
        <f>(Land!$C$12*Assumptions!$H$52*1000*Assumptions!$H$54+Land!$C$13*Assumptions!$H$53*1000*Assumptions!$H$55)/12*INDEX(Curves!$D$25:$O$25,1,DB$5)*DB9</f>
        <v/>
      </c>
      <c r="DC10" s="25">
        <f>(Land!$C$12*Assumptions!$H$52*1000*Assumptions!$H$54+Land!$C$13*Assumptions!$H$53*1000*Assumptions!$H$55)/12*INDEX(Curves!$D$25:$O$25,1,DC$5)*DC9</f>
        <v/>
      </c>
      <c r="DD10" s="25">
        <f>(Land!$C$12*Assumptions!$H$52*1000*Assumptions!$H$54+Land!$C$13*Assumptions!$H$53*1000*Assumptions!$H$55)/12*INDEX(Curves!$D$25:$O$25,1,DD$5)*DD9</f>
        <v/>
      </c>
      <c r="DE10" s="25">
        <f>(Land!$C$12*Assumptions!$H$52*1000*Assumptions!$H$54+Land!$C$13*Assumptions!$H$53*1000*Assumptions!$H$55)/12*INDEX(Curves!$D$25:$O$25,1,DE$5)*DE9</f>
        <v/>
      </c>
      <c r="DF10" s="25">
        <f>(Land!$C$12*Assumptions!$H$52*1000*Assumptions!$H$54+Land!$C$13*Assumptions!$H$53*1000*Assumptions!$H$55)/12*INDEX(Curves!$D$25:$O$25,1,DF$5)*DF9</f>
        <v/>
      </c>
      <c r="DG10" s="25">
        <f>(Land!$C$12*Assumptions!$H$52*1000*Assumptions!$H$54+Land!$C$13*Assumptions!$H$53*1000*Assumptions!$H$55)/12*INDEX(Curves!$D$25:$O$25,1,DG$5)*DG9</f>
        <v/>
      </c>
      <c r="DH10" s="25">
        <f>(Land!$C$12*Assumptions!$H$52*1000*Assumptions!$H$54+Land!$C$13*Assumptions!$H$53*1000*Assumptions!$H$55)/12*INDEX(Curves!$D$25:$O$25,1,DH$5)*DH9</f>
        <v/>
      </c>
      <c r="DI10" s="25">
        <f>(Land!$C$12*Assumptions!$H$52*1000*Assumptions!$H$54+Land!$C$13*Assumptions!$H$53*1000*Assumptions!$H$55)/12*INDEX(Curves!$D$25:$O$25,1,DI$5)*DI9</f>
        <v/>
      </c>
      <c r="DJ10" s="25">
        <f>(Land!$C$12*Assumptions!$H$52*1000*Assumptions!$H$54+Land!$C$13*Assumptions!$H$53*1000*Assumptions!$H$55)/12*INDEX(Curves!$D$25:$O$25,1,DJ$5)*DJ9</f>
        <v/>
      </c>
      <c r="DK10" s="25">
        <f>(Land!$C$12*Assumptions!$H$52*1000*Assumptions!$H$54+Land!$C$13*Assumptions!$H$53*1000*Assumptions!$H$55)/12*INDEX(Curves!$D$25:$O$25,1,DK$5)*DK9</f>
        <v/>
      </c>
      <c r="DL10" s="25">
        <f>(Land!$C$12*Assumptions!$H$52*1000*Assumptions!$H$54+Land!$C$13*Assumptions!$H$53*1000*Assumptions!$H$55)/12*INDEX(Curves!$D$25:$O$25,1,DL$5)*DL9</f>
        <v/>
      </c>
      <c r="DM10" s="25">
        <f>(Land!$C$12*Assumptions!$H$52*1000*Assumptions!$H$54+Land!$C$13*Assumptions!$H$53*1000*Assumptions!$H$55)/12*INDEX(Curves!$D$25:$O$25,1,DM$5)*DM9</f>
        <v/>
      </c>
      <c r="DN10" s="25">
        <f>(Land!$C$12*Assumptions!$H$52*1000*Assumptions!$H$54+Land!$C$13*Assumptions!$H$53*1000*Assumptions!$H$55)/12*INDEX(Curves!$D$25:$O$25,1,DN$5)*DN9</f>
        <v/>
      </c>
      <c r="DO10" s="25">
        <f>(Land!$C$12*Assumptions!$H$52*1000*Assumptions!$H$54+Land!$C$13*Assumptions!$H$53*1000*Assumptions!$H$55)/12*INDEX(Curves!$D$25:$O$25,1,DO$5)*DO9</f>
        <v/>
      </c>
      <c r="DP10" s="25">
        <f>(Land!$C$12*Assumptions!$H$52*1000*Assumptions!$H$54+Land!$C$13*Assumptions!$H$53*1000*Assumptions!$H$55)/12*INDEX(Curves!$D$25:$O$25,1,DP$5)*DP9</f>
        <v/>
      </c>
      <c r="DQ10" s="25">
        <f>(Land!$C$12*Assumptions!$H$52*1000*Assumptions!$H$54+Land!$C$13*Assumptions!$H$53*1000*Assumptions!$H$55)/12*INDEX(Curves!$D$25:$O$25,1,DQ$5)*DQ9</f>
        <v/>
      </c>
      <c r="DR10" s="25">
        <f>(Land!$C$12*Assumptions!$H$52*1000*Assumptions!$H$54+Land!$C$13*Assumptions!$H$53*1000*Assumptions!$H$55)/12*INDEX(Curves!$D$25:$O$25,1,DR$5)*DR9</f>
        <v/>
      </c>
      <c r="DS10" s="25">
        <f>(Land!$C$12*Assumptions!$H$52*1000*Assumptions!$H$54+Land!$C$13*Assumptions!$H$53*1000*Assumptions!$H$55)/12*INDEX(Curves!$D$25:$O$25,1,DS$5)*DS9</f>
        <v/>
      </c>
    </row>
    <row r="11">
      <c r="A11" s="2" t="inlineStr">
        <is>
          <t>FD_SURPLUS</t>
        </is>
      </c>
      <c r="B11" s="6" t="inlineStr">
        <is>
          <t>Surplus forage</t>
        </is>
      </c>
      <c r="C11" s="2" t="inlineStr">
        <is>
          <t>kg DM</t>
        </is>
      </c>
      <c r="D11" s="25">
        <f>MAX(0,D10-D8)</f>
        <v/>
      </c>
      <c r="E11" s="25">
        <f>MAX(0,E10-E8)</f>
        <v/>
      </c>
      <c r="F11" s="25">
        <f>MAX(0,F10-F8)</f>
        <v/>
      </c>
      <c r="G11" s="25">
        <f>MAX(0,G10-G8)</f>
        <v/>
      </c>
      <c r="H11" s="25">
        <f>MAX(0,H10-H8)</f>
        <v/>
      </c>
      <c r="I11" s="25">
        <f>MAX(0,I10-I8)</f>
        <v/>
      </c>
      <c r="J11" s="25">
        <f>MAX(0,J10-J8)</f>
        <v/>
      </c>
      <c r="K11" s="25">
        <f>MAX(0,K10-K8)</f>
        <v/>
      </c>
      <c r="L11" s="25">
        <f>MAX(0,L10-L8)</f>
        <v/>
      </c>
      <c r="M11" s="25">
        <f>MAX(0,M10-M8)</f>
        <v/>
      </c>
      <c r="N11" s="25">
        <f>MAX(0,N10-N8)</f>
        <v/>
      </c>
      <c r="O11" s="25">
        <f>MAX(0,O10-O8)</f>
        <v/>
      </c>
      <c r="P11" s="25">
        <f>MAX(0,P10-P8)</f>
        <v/>
      </c>
      <c r="Q11" s="25">
        <f>MAX(0,Q10-Q8)</f>
        <v/>
      </c>
      <c r="R11" s="25">
        <f>MAX(0,R10-R8)</f>
        <v/>
      </c>
      <c r="S11" s="25">
        <f>MAX(0,S10-S8)</f>
        <v/>
      </c>
      <c r="T11" s="25">
        <f>MAX(0,T10-T8)</f>
        <v/>
      </c>
      <c r="U11" s="25">
        <f>MAX(0,U10-U8)</f>
        <v/>
      </c>
      <c r="V11" s="25">
        <f>MAX(0,V10-V8)</f>
        <v/>
      </c>
      <c r="W11" s="25">
        <f>MAX(0,W10-W8)</f>
        <v/>
      </c>
      <c r="X11" s="25">
        <f>MAX(0,X10-X8)</f>
        <v/>
      </c>
      <c r="Y11" s="25">
        <f>MAX(0,Y10-Y8)</f>
        <v/>
      </c>
      <c r="Z11" s="25">
        <f>MAX(0,Z10-Z8)</f>
        <v/>
      </c>
      <c r="AA11" s="25">
        <f>MAX(0,AA10-AA8)</f>
        <v/>
      </c>
      <c r="AB11" s="25">
        <f>MAX(0,AB10-AB8)</f>
        <v/>
      </c>
      <c r="AC11" s="25">
        <f>MAX(0,AC10-AC8)</f>
        <v/>
      </c>
      <c r="AD11" s="25">
        <f>MAX(0,AD10-AD8)</f>
        <v/>
      </c>
      <c r="AE11" s="25">
        <f>MAX(0,AE10-AE8)</f>
        <v/>
      </c>
      <c r="AF11" s="25">
        <f>MAX(0,AF10-AF8)</f>
        <v/>
      </c>
      <c r="AG11" s="25">
        <f>MAX(0,AG10-AG8)</f>
        <v/>
      </c>
      <c r="AH11" s="25">
        <f>MAX(0,AH10-AH8)</f>
        <v/>
      </c>
      <c r="AI11" s="25">
        <f>MAX(0,AI10-AI8)</f>
        <v/>
      </c>
      <c r="AJ11" s="25">
        <f>MAX(0,AJ10-AJ8)</f>
        <v/>
      </c>
      <c r="AK11" s="25">
        <f>MAX(0,AK10-AK8)</f>
        <v/>
      </c>
      <c r="AL11" s="25">
        <f>MAX(0,AL10-AL8)</f>
        <v/>
      </c>
      <c r="AM11" s="25">
        <f>MAX(0,AM10-AM8)</f>
        <v/>
      </c>
      <c r="AN11" s="25">
        <f>MAX(0,AN10-AN8)</f>
        <v/>
      </c>
      <c r="AO11" s="25">
        <f>MAX(0,AO10-AO8)</f>
        <v/>
      </c>
      <c r="AP11" s="25">
        <f>MAX(0,AP10-AP8)</f>
        <v/>
      </c>
      <c r="AQ11" s="25">
        <f>MAX(0,AQ10-AQ8)</f>
        <v/>
      </c>
      <c r="AR11" s="25">
        <f>MAX(0,AR10-AR8)</f>
        <v/>
      </c>
      <c r="AS11" s="25">
        <f>MAX(0,AS10-AS8)</f>
        <v/>
      </c>
      <c r="AT11" s="25">
        <f>MAX(0,AT10-AT8)</f>
        <v/>
      </c>
      <c r="AU11" s="25">
        <f>MAX(0,AU10-AU8)</f>
        <v/>
      </c>
      <c r="AV11" s="25">
        <f>MAX(0,AV10-AV8)</f>
        <v/>
      </c>
      <c r="AW11" s="25">
        <f>MAX(0,AW10-AW8)</f>
        <v/>
      </c>
      <c r="AX11" s="25">
        <f>MAX(0,AX10-AX8)</f>
        <v/>
      </c>
      <c r="AY11" s="25">
        <f>MAX(0,AY10-AY8)</f>
        <v/>
      </c>
      <c r="AZ11" s="25">
        <f>MAX(0,AZ10-AZ8)</f>
        <v/>
      </c>
      <c r="BA11" s="25">
        <f>MAX(0,BA10-BA8)</f>
        <v/>
      </c>
      <c r="BB11" s="25">
        <f>MAX(0,BB10-BB8)</f>
        <v/>
      </c>
      <c r="BC11" s="25">
        <f>MAX(0,BC10-BC8)</f>
        <v/>
      </c>
      <c r="BD11" s="25">
        <f>MAX(0,BD10-BD8)</f>
        <v/>
      </c>
      <c r="BE11" s="25">
        <f>MAX(0,BE10-BE8)</f>
        <v/>
      </c>
      <c r="BF11" s="25">
        <f>MAX(0,BF10-BF8)</f>
        <v/>
      </c>
      <c r="BG11" s="25">
        <f>MAX(0,BG10-BG8)</f>
        <v/>
      </c>
      <c r="BH11" s="25">
        <f>MAX(0,BH10-BH8)</f>
        <v/>
      </c>
      <c r="BI11" s="25">
        <f>MAX(0,BI10-BI8)</f>
        <v/>
      </c>
      <c r="BJ11" s="25">
        <f>MAX(0,BJ10-BJ8)</f>
        <v/>
      </c>
      <c r="BK11" s="25">
        <f>MAX(0,BK10-BK8)</f>
        <v/>
      </c>
      <c r="BL11" s="25">
        <f>MAX(0,BL10-BL8)</f>
        <v/>
      </c>
      <c r="BM11" s="25">
        <f>MAX(0,BM10-BM8)</f>
        <v/>
      </c>
      <c r="BN11" s="25">
        <f>MAX(0,BN10-BN8)</f>
        <v/>
      </c>
      <c r="BO11" s="25">
        <f>MAX(0,BO10-BO8)</f>
        <v/>
      </c>
      <c r="BP11" s="25">
        <f>MAX(0,BP10-BP8)</f>
        <v/>
      </c>
      <c r="BQ11" s="25">
        <f>MAX(0,BQ10-BQ8)</f>
        <v/>
      </c>
      <c r="BR11" s="25">
        <f>MAX(0,BR10-BR8)</f>
        <v/>
      </c>
      <c r="BS11" s="25">
        <f>MAX(0,BS10-BS8)</f>
        <v/>
      </c>
      <c r="BT11" s="25">
        <f>MAX(0,BT10-BT8)</f>
        <v/>
      </c>
      <c r="BU11" s="25">
        <f>MAX(0,BU10-BU8)</f>
        <v/>
      </c>
      <c r="BV11" s="25">
        <f>MAX(0,BV10-BV8)</f>
        <v/>
      </c>
      <c r="BW11" s="25">
        <f>MAX(0,BW10-BW8)</f>
        <v/>
      </c>
      <c r="BX11" s="25">
        <f>MAX(0,BX10-BX8)</f>
        <v/>
      </c>
      <c r="BY11" s="25">
        <f>MAX(0,BY10-BY8)</f>
        <v/>
      </c>
      <c r="BZ11" s="25">
        <f>MAX(0,BZ10-BZ8)</f>
        <v/>
      </c>
      <c r="CA11" s="25">
        <f>MAX(0,CA10-CA8)</f>
        <v/>
      </c>
      <c r="CB11" s="25">
        <f>MAX(0,CB10-CB8)</f>
        <v/>
      </c>
      <c r="CC11" s="25">
        <f>MAX(0,CC10-CC8)</f>
        <v/>
      </c>
      <c r="CD11" s="25">
        <f>MAX(0,CD10-CD8)</f>
        <v/>
      </c>
      <c r="CE11" s="25">
        <f>MAX(0,CE10-CE8)</f>
        <v/>
      </c>
      <c r="CF11" s="25">
        <f>MAX(0,CF10-CF8)</f>
        <v/>
      </c>
      <c r="CG11" s="25">
        <f>MAX(0,CG10-CG8)</f>
        <v/>
      </c>
      <c r="CH11" s="25">
        <f>MAX(0,CH10-CH8)</f>
        <v/>
      </c>
      <c r="CI11" s="25">
        <f>MAX(0,CI10-CI8)</f>
        <v/>
      </c>
      <c r="CJ11" s="25">
        <f>MAX(0,CJ10-CJ8)</f>
        <v/>
      </c>
      <c r="CK11" s="25">
        <f>MAX(0,CK10-CK8)</f>
        <v/>
      </c>
      <c r="CL11" s="25">
        <f>MAX(0,CL10-CL8)</f>
        <v/>
      </c>
      <c r="CM11" s="25">
        <f>MAX(0,CM10-CM8)</f>
        <v/>
      </c>
      <c r="CN11" s="25">
        <f>MAX(0,CN10-CN8)</f>
        <v/>
      </c>
      <c r="CO11" s="25">
        <f>MAX(0,CO10-CO8)</f>
        <v/>
      </c>
      <c r="CP11" s="25">
        <f>MAX(0,CP10-CP8)</f>
        <v/>
      </c>
      <c r="CQ11" s="25">
        <f>MAX(0,CQ10-CQ8)</f>
        <v/>
      </c>
      <c r="CR11" s="25">
        <f>MAX(0,CR10-CR8)</f>
        <v/>
      </c>
      <c r="CS11" s="25">
        <f>MAX(0,CS10-CS8)</f>
        <v/>
      </c>
      <c r="CT11" s="25">
        <f>MAX(0,CT10-CT8)</f>
        <v/>
      </c>
      <c r="CU11" s="25">
        <f>MAX(0,CU10-CU8)</f>
        <v/>
      </c>
      <c r="CV11" s="25">
        <f>MAX(0,CV10-CV8)</f>
        <v/>
      </c>
      <c r="CW11" s="25">
        <f>MAX(0,CW10-CW8)</f>
        <v/>
      </c>
      <c r="CX11" s="25">
        <f>MAX(0,CX10-CX8)</f>
        <v/>
      </c>
      <c r="CY11" s="25">
        <f>MAX(0,CY10-CY8)</f>
        <v/>
      </c>
      <c r="CZ11" s="25">
        <f>MAX(0,CZ10-CZ8)</f>
        <v/>
      </c>
      <c r="DA11" s="25">
        <f>MAX(0,DA10-DA8)</f>
        <v/>
      </c>
      <c r="DB11" s="25">
        <f>MAX(0,DB10-DB8)</f>
        <v/>
      </c>
      <c r="DC11" s="25">
        <f>MAX(0,DC10-DC8)</f>
        <v/>
      </c>
      <c r="DD11" s="25">
        <f>MAX(0,DD10-DD8)</f>
        <v/>
      </c>
      <c r="DE11" s="25">
        <f>MAX(0,DE10-DE8)</f>
        <v/>
      </c>
      <c r="DF11" s="25">
        <f>MAX(0,DF10-DF8)</f>
        <v/>
      </c>
      <c r="DG11" s="25">
        <f>MAX(0,DG10-DG8)</f>
        <v/>
      </c>
      <c r="DH11" s="25">
        <f>MAX(0,DH10-DH8)</f>
        <v/>
      </c>
      <c r="DI11" s="25">
        <f>MAX(0,DI10-DI8)</f>
        <v/>
      </c>
      <c r="DJ11" s="25">
        <f>MAX(0,DJ10-DJ8)</f>
        <v/>
      </c>
      <c r="DK11" s="25">
        <f>MAX(0,DK10-DK8)</f>
        <v/>
      </c>
      <c r="DL11" s="25">
        <f>MAX(0,DL10-DL8)</f>
        <v/>
      </c>
      <c r="DM11" s="25">
        <f>MAX(0,DM10-DM8)</f>
        <v/>
      </c>
      <c r="DN11" s="25">
        <f>MAX(0,DN10-DN8)</f>
        <v/>
      </c>
      <c r="DO11" s="25">
        <f>MAX(0,DO10-DO8)</f>
        <v/>
      </c>
      <c r="DP11" s="25">
        <f>MAX(0,DP10-DP8)</f>
        <v/>
      </c>
      <c r="DQ11" s="25">
        <f>MAX(0,DQ10-DQ8)</f>
        <v/>
      </c>
      <c r="DR11" s="25">
        <f>MAX(0,DR10-DR8)</f>
        <v/>
      </c>
      <c r="DS11" s="25">
        <f>MAX(0,DS10-DS8)</f>
        <v/>
      </c>
    </row>
    <row r="12">
      <c r="A12" s="2" t="inlineStr">
        <is>
          <t>FD_DEFICIT</t>
        </is>
      </c>
      <c r="B12" s="6" t="inlineStr">
        <is>
          <t>Forage deficit</t>
        </is>
      </c>
      <c r="C12" s="2" t="inlineStr">
        <is>
          <t>kg DM</t>
        </is>
      </c>
      <c r="D12" s="25">
        <f>MAX(0,D8-D10)</f>
        <v/>
      </c>
      <c r="E12" s="25">
        <f>MAX(0,E8-E10)</f>
        <v/>
      </c>
      <c r="F12" s="25">
        <f>MAX(0,F8-F10)</f>
        <v/>
      </c>
      <c r="G12" s="25">
        <f>MAX(0,G8-G10)</f>
        <v/>
      </c>
      <c r="H12" s="25">
        <f>MAX(0,H8-H10)</f>
        <v/>
      </c>
      <c r="I12" s="25">
        <f>MAX(0,I8-I10)</f>
        <v/>
      </c>
      <c r="J12" s="25">
        <f>MAX(0,J8-J10)</f>
        <v/>
      </c>
      <c r="K12" s="25">
        <f>MAX(0,K8-K10)</f>
        <v/>
      </c>
      <c r="L12" s="25">
        <f>MAX(0,L8-L10)</f>
        <v/>
      </c>
      <c r="M12" s="25">
        <f>MAX(0,M8-M10)</f>
        <v/>
      </c>
      <c r="N12" s="25">
        <f>MAX(0,N8-N10)</f>
        <v/>
      </c>
      <c r="O12" s="25">
        <f>MAX(0,O8-O10)</f>
        <v/>
      </c>
      <c r="P12" s="25">
        <f>MAX(0,P8-P10)</f>
        <v/>
      </c>
      <c r="Q12" s="25">
        <f>MAX(0,Q8-Q10)</f>
        <v/>
      </c>
      <c r="R12" s="25">
        <f>MAX(0,R8-R10)</f>
        <v/>
      </c>
      <c r="S12" s="25">
        <f>MAX(0,S8-S10)</f>
        <v/>
      </c>
      <c r="T12" s="25">
        <f>MAX(0,T8-T10)</f>
        <v/>
      </c>
      <c r="U12" s="25">
        <f>MAX(0,U8-U10)</f>
        <v/>
      </c>
      <c r="V12" s="25">
        <f>MAX(0,V8-V10)</f>
        <v/>
      </c>
      <c r="W12" s="25">
        <f>MAX(0,W8-W10)</f>
        <v/>
      </c>
      <c r="X12" s="25">
        <f>MAX(0,X8-X10)</f>
        <v/>
      </c>
      <c r="Y12" s="25">
        <f>MAX(0,Y8-Y10)</f>
        <v/>
      </c>
      <c r="Z12" s="25">
        <f>MAX(0,Z8-Z10)</f>
        <v/>
      </c>
      <c r="AA12" s="25">
        <f>MAX(0,AA8-AA10)</f>
        <v/>
      </c>
      <c r="AB12" s="25">
        <f>MAX(0,AB8-AB10)</f>
        <v/>
      </c>
      <c r="AC12" s="25">
        <f>MAX(0,AC8-AC10)</f>
        <v/>
      </c>
      <c r="AD12" s="25">
        <f>MAX(0,AD8-AD10)</f>
        <v/>
      </c>
      <c r="AE12" s="25">
        <f>MAX(0,AE8-AE10)</f>
        <v/>
      </c>
      <c r="AF12" s="25">
        <f>MAX(0,AF8-AF10)</f>
        <v/>
      </c>
      <c r="AG12" s="25">
        <f>MAX(0,AG8-AG10)</f>
        <v/>
      </c>
      <c r="AH12" s="25">
        <f>MAX(0,AH8-AH10)</f>
        <v/>
      </c>
      <c r="AI12" s="25">
        <f>MAX(0,AI8-AI10)</f>
        <v/>
      </c>
      <c r="AJ12" s="25">
        <f>MAX(0,AJ8-AJ10)</f>
        <v/>
      </c>
      <c r="AK12" s="25">
        <f>MAX(0,AK8-AK10)</f>
        <v/>
      </c>
      <c r="AL12" s="25">
        <f>MAX(0,AL8-AL10)</f>
        <v/>
      </c>
      <c r="AM12" s="25">
        <f>MAX(0,AM8-AM10)</f>
        <v/>
      </c>
      <c r="AN12" s="25">
        <f>MAX(0,AN8-AN10)</f>
        <v/>
      </c>
      <c r="AO12" s="25">
        <f>MAX(0,AO8-AO10)</f>
        <v/>
      </c>
      <c r="AP12" s="25">
        <f>MAX(0,AP8-AP10)</f>
        <v/>
      </c>
      <c r="AQ12" s="25">
        <f>MAX(0,AQ8-AQ10)</f>
        <v/>
      </c>
      <c r="AR12" s="25">
        <f>MAX(0,AR8-AR10)</f>
        <v/>
      </c>
      <c r="AS12" s="25">
        <f>MAX(0,AS8-AS10)</f>
        <v/>
      </c>
      <c r="AT12" s="25">
        <f>MAX(0,AT8-AT10)</f>
        <v/>
      </c>
      <c r="AU12" s="25">
        <f>MAX(0,AU8-AU10)</f>
        <v/>
      </c>
      <c r="AV12" s="25">
        <f>MAX(0,AV8-AV10)</f>
        <v/>
      </c>
      <c r="AW12" s="25">
        <f>MAX(0,AW8-AW10)</f>
        <v/>
      </c>
      <c r="AX12" s="25">
        <f>MAX(0,AX8-AX10)</f>
        <v/>
      </c>
      <c r="AY12" s="25">
        <f>MAX(0,AY8-AY10)</f>
        <v/>
      </c>
      <c r="AZ12" s="25">
        <f>MAX(0,AZ8-AZ10)</f>
        <v/>
      </c>
      <c r="BA12" s="25">
        <f>MAX(0,BA8-BA10)</f>
        <v/>
      </c>
      <c r="BB12" s="25">
        <f>MAX(0,BB8-BB10)</f>
        <v/>
      </c>
      <c r="BC12" s="25">
        <f>MAX(0,BC8-BC10)</f>
        <v/>
      </c>
      <c r="BD12" s="25">
        <f>MAX(0,BD8-BD10)</f>
        <v/>
      </c>
      <c r="BE12" s="25">
        <f>MAX(0,BE8-BE10)</f>
        <v/>
      </c>
      <c r="BF12" s="25">
        <f>MAX(0,BF8-BF10)</f>
        <v/>
      </c>
      <c r="BG12" s="25">
        <f>MAX(0,BG8-BG10)</f>
        <v/>
      </c>
      <c r="BH12" s="25">
        <f>MAX(0,BH8-BH10)</f>
        <v/>
      </c>
      <c r="BI12" s="25">
        <f>MAX(0,BI8-BI10)</f>
        <v/>
      </c>
      <c r="BJ12" s="25">
        <f>MAX(0,BJ8-BJ10)</f>
        <v/>
      </c>
      <c r="BK12" s="25">
        <f>MAX(0,BK8-BK10)</f>
        <v/>
      </c>
      <c r="BL12" s="25">
        <f>MAX(0,BL8-BL10)</f>
        <v/>
      </c>
      <c r="BM12" s="25">
        <f>MAX(0,BM8-BM10)</f>
        <v/>
      </c>
      <c r="BN12" s="25">
        <f>MAX(0,BN8-BN10)</f>
        <v/>
      </c>
      <c r="BO12" s="25">
        <f>MAX(0,BO8-BO10)</f>
        <v/>
      </c>
      <c r="BP12" s="25">
        <f>MAX(0,BP8-BP10)</f>
        <v/>
      </c>
      <c r="BQ12" s="25">
        <f>MAX(0,BQ8-BQ10)</f>
        <v/>
      </c>
      <c r="BR12" s="25">
        <f>MAX(0,BR8-BR10)</f>
        <v/>
      </c>
      <c r="BS12" s="25">
        <f>MAX(0,BS8-BS10)</f>
        <v/>
      </c>
      <c r="BT12" s="25">
        <f>MAX(0,BT8-BT10)</f>
        <v/>
      </c>
      <c r="BU12" s="25">
        <f>MAX(0,BU8-BU10)</f>
        <v/>
      </c>
      <c r="BV12" s="25">
        <f>MAX(0,BV8-BV10)</f>
        <v/>
      </c>
      <c r="BW12" s="25">
        <f>MAX(0,BW8-BW10)</f>
        <v/>
      </c>
      <c r="BX12" s="25">
        <f>MAX(0,BX8-BX10)</f>
        <v/>
      </c>
      <c r="BY12" s="25">
        <f>MAX(0,BY8-BY10)</f>
        <v/>
      </c>
      <c r="BZ12" s="25">
        <f>MAX(0,BZ8-BZ10)</f>
        <v/>
      </c>
      <c r="CA12" s="25">
        <f>MAX(0,CA8-CA10)</f>
        <v/>
      </c>
      <c r="CB12" s="25">
        <f>MAX(0,CB8-CB10)</f>
        <v/>
      </c>
      <c r="CC12" s="25">
        <f>MAX(0,CC8-CC10)</f>
        <v/>
      </c>
      <c r="CD12" s="25">
        <f>MAX(0,CD8-CD10)</f>
        <v/>
      </c>
      <c r="CE12" s="25">
        <f>MAX(0,CE8-CE10)</f>
        <v/>
      </c>
      <c r="CF12" s="25">
        <f>MAX(0,CF8-CF10)</f>
        <v/>
      </c>
      <c r="CG12" s="25">
        <f>MAX(0,CG8-CG10)</f>
        <v/>
      </c>
      <c r="CH12" s="25">
        <f>MAX(0,CH8-CH10)</f>
        <v/>
      </c>
      <c r="CI12" s="25">
        <f>MAX(0,CI8-CI10)</f>
        <v/>
      </c>
      <c r="CJ12" s="25">
        <f>MAX(0,CJ8-CJ10)</f>
        <v/>
      </c>
      <c r="CK12" s="25">
        <f>MAX(0,CK8-CK10)</f>
        <v/>
      </c>
      <c r="CL12" s="25">
        <f>MAX(0,CL8-CL10)</f>
        <v/>
      </c>
      <c r="CM12" s="25">
        <f>MAX(0,CM8-CM10)</f>
        <v/>
      </c>
      <c r="CN12" s="25">
        <f>MAX(0,CN8-CN10)</f>
        <v/>
      </c>
      <c r="CO12" s="25">
        <f>MAX(0,CO8-CO10)</f>
        <v/>
      </c>
      <c r="CP12" s="25">
        <f>MAX(0,CP8-CP10)</f>
        <v/>
      </c>
      <c r="CQ12" s="25">
        <f>MAX(0,CQ8-CQ10)</f>
        <v/>
      </c>
      <c r="CR12" s="25">
        <f>MAX(0,CR8-CR10)</f>
        <v/>
      </c>
      <c r="CS12" s="25">
        <f>MAX(0,CS8-CS10)</f>
        <v/>
      </c>
      <c r="CT12" s="25">
        <f>MAX(0,CT8-CT10)</f>
        <v/>
      </c>
      <c r="CU12" s="25">
        <f>MAX(0,CU8-CU10)</f>
        <v/>
      </c>
      <c r="CV12" s="25">
        <f>MAX(0,CV8-CV10)</f>
        <v/>
      </c>
      <c r="CW12" s="25">
        <f>MAX(0,CW8-CW10)</f>
        <v/>
      </c>
      <c r="CX12" s="25">
        <f>MAX(0,CX8-CX10)</f>
        <v/>
      </c>
      <c r="CY12" s="25">
        <f>MAX(0,CY8-CY10)</f>
        <v/>
      </c>
      <c r="CZ12" s="25">
        <f>MAX(0,CZ8-CZ10)</f>
        <v/>
      </c>
      <c r="DA12" s="25">
        <f>MAX(0,DA8-DA10)</f>
        <v/>
      </c>
      <c r="DB12" s="25">
        <f>MAX(0,DB8-DB10)</f>
        <v/>
      </c>
      <c r="DC12" s="25">
        <f>MAX(0,DC8-DC10)</f>
        <v/>
      </c>
      <c r="DD12" s="25">
        <f>MAX(0,DD8-DD10)</f>
        <v/>
      </c>
      <c r="DE12" s="25">
        <f>MAX(0,DE8-DE10)</f>
        <v/>
      </c>
      <c r="DF12" s="25">
        <f>MAX(0,DF8-DF10)</f>
        <v/>
      </c>
      <c r="DG12" s="25">
        <f>MAX(0,DG8-DG10)</f>
        <v/>
      </c>
      <c r="DH12" s="25">
        <f>MAX(0,DH8-DH10)</f>
        <v/>
      </c>
      <c r="DI12" s="25">
        <f>MAX(0,DI8-DI10)</f>
        <v/>
      </c>
      <c r="DJ12" s="25">
        <f>MAX(0,DJ8-DJ10)</f>
        <v/>
      </c>
      <c r="DK12" s="25">
        <f>MAX(0,DK8-DK10)</f>
        <v/>
      </c>
      <c r="DL12" s="25">
        <f>MAX(0,DL8-DL10)</f>
        <v/>
      </c>
      <c r="DM12" s="25">
        <f>MAX(0,DM8-DM10)</f>
        <v/>
      </c>
      <c r="DN12" s="25">
        <f>MAX(0,DN8-DN10)</f>
        <v/>
      </c>
      <c r="DO12" s="25">
        <f>MAX(0,DO8-DO10)</f>
        <v/>
      </c>
      <c r="DP12" s="25">
        <f>MAX(0,DP8-DP10)</f>
        <v/>
      </c>
      <c r="DQ12" s="25">
        <f>MAX(0,DQ8-DQ10)</f>
        <v/>
      </c>
      <c r="DR12" s="25">
        <f>MAX(0,DR8-DR10)</f>
        <v/>
      </c>
      <c r="DS12" s="25">
        <f>MAX(0,DS8-DS10)</f>
        <v/>
      </c>
    </row>
    <row r="13">
      <c r="A13" s="2" t="inlineStr">
        <is>
          <t>FD_CONS</t>
        </is>
      </c>
      <c r="B13" s="6" t="inlineStr">
        <is>
          <t>Conserved as hay/silage</t>
        </is>
      </c>
      <c r="C13" s="2" t="inlineStr">
        <is>
          <t>kg DM</t>
        </is>
      </c>
      <c r="D13" s="25">
        <f>D11*Models!$H$38*Assumptions!$H$56</f>
        <v/>
      </c>
      <c r="E13" s="25">
        <f>E11*Models!$H$38*Assumptions!$H$56</f>
        <v/>
      </c>
      <c r="F13" s="25">
        <f>F11*Models!$H$38*Assumptions!$H$56</f>
        <v/>
      </c>
      <c r="G13" s="25">
        <f>G11*Models!$H$38*Assumptions!$H$56</f>
        <v/>
      </c>
      <c r="H13" s="25">
        <f>H11*Models!$H$38*Assumptions!$H$56</f>
        <v/>
      </c>
      <c r="I13" s="25">
        <f>I11*Models!$H$38*Assumptions!$H$56</f>
        <v/>
      </c>
      <c r="J13" s="25">
        <f>J11*Models!$H$38*Assumptions!$H$56</f>
        <v/>
      </c>
      <c r="K13" s="25">
        <f>K11*Models!$H$38*Assumptions!$H$56</f>
        <v/>
      </c>
      <c r="L13" s="25">
        <f>L11*Models!$H$38*Assumptions!$H$56</f>
        <v/>
      </c>
      <c r="M13" s="25">
        <f>M11*Models!$H$38*Assumptions!$H$56</f>
        <v/>
      </c>
      <c r="N13" s="25">
        <f>N11*Models!$H$38*Assumptions!$H$56</f>
        <v/>
      </c>
      <c r="O13" s="25">
        <f>O11*Models!$H$38*Assumptions!$H$56</f>
        <v/>
      </c>
      <c r="P13" s="25">
        <f>P11*Models!$H$38*Assumptions!$H$56</f>
        <v/>
      </c>
      <c r="Q13" s="25">
        <f>Q11*Models!$H$38*Assumptions!$H$56</f>
        <v/>
      </c>
      <c r="R13" s="25">
        <f>R11*Models!$H$38*Assumptions!$H$56</f>
        <v/>
      </c>
      <c r="S13" s="25">
        <f>S11*Models!$H$38*Assumptions!$H$56</f>
        <v/>
      </c>
      <c r="T13" s="25">
        <f>T11*Models!$H$38*Assumptions!$H$56</f>
        <v/>
      </c>
      <c r="U13" s="25">
        <f>U11*Models!$H$38*Assumptions!$H$56</f>
        <v/>
      </c>
      <c r="V13" s="25">
        <f>V11*Models!$H$38*Assumptions!$H$56</f>
        <v/>
      </c>
      <c r="W13" s="25">
        <f>W11*Models!$H$38*Assumptions!$H$56</f>
        <v/>
      </c>
      <c r="X13" s="25">
        <f>X11*Models!$H$38*Assumptions!$H$56</f>
        <v/>
      </c>
      <c r="Y13" s="25">
        <f>Y11*Models!$H$38*Assumptions!$H$56</f>
        <v/>
      </c>
      <c r="Z13" s="25">
        <f>Z11*Models!$H$38*Assumptions!$H$56</f>
        <v/>
      </c>
      <c r="AA13" s="25">
        <f>AA11*Models!$H$38*Assumptions!$H$56</f>
        <v/>
      </c>
      <c r="AB13" s="25">
        <f>AB11*Models!$H$38*Assumptions!$H$56</f>
        <v/>
      </c>
      <c r="AC13" s="25">
        <f>AC11*Models!$H$38*Assumptions!$H$56</f>
        <v/>
      </c>
      <c r="AD13" s="25">
        <f>AD11*Models!$H$38*Assumptions!$H$56</f>
        <v/>
      </c>
      <c r="AE13" s="25">
        <f>AE11*Models!$H$38*Assumptions!$H$56</f>
        <v/>
      </c>
      <c r="AF13" s="25">
        <f>AF11*Models!$H$38*Assumptions!$H$56</f>
        <v/>
      </c>
      <c r="AG13" s="25">
        <f>AG11*Models!$H$38*Assumptions!$H$56</f>
        <v/>
      </c>
      <c r="AH13" s="25">
        <f>AH11*Models!$H$38*Assumptions!$H$56</f>
        <v/>
      </c>
      <c r="AI13" s="25">
        <f>AI11*Models!$H$38*Assumptions!$H$56</f>
        <v/>
      </c>
      <c r="AJ13" s="25">
        <f>AJ11*Models!$H$38*Assumptions!$H$56</f>
        <v/>
      </c>
      <c r="AK13" s="25">
        <f>AK11*Models!$H$38*Assumptions!$H$56</f>
        <v/>
      </c>
      <c r="AL13" s="25">
        <f>AL11*Models!$H$38*Assumptions!$H$56</f>
        <v/>
      </c>
      <c r="AM13" s="25">
        <f>AM11*Models!$H$38*Assumptions!$H$56</f>
        <v/>
      </c>
      <c r="AN13" s="25">
        <f>AN11*Models!$H$38*Assumptions!$H$56</f>
        <v/>
      </c>
      <c r="AO13" s="25">
        <f>AO11*Models!$H$38*Assumptions!$H$56</f>
        <v/>
      </c>
      <c r="AP13" s="25">
        <f>AP11*Models!$H$38*Assumptions!$H$56</f>
        <v/>
      </c>
      <c r="AQ13" s="25">
        <f>AQ11*Models!$H$38*Assumptions!$H$56</f>
        <v/>
      </c>
      <c r="AR13" s="25">
        <f>AR11*Models!$H$38*Assumptions!$H$56</f>
        <v/>
      </c>
      <c r="AS13" s="25">
        <f>AS11*Models!$H$38*Assumptions!$H$56</f>
        <v/>
      </c>
      <c r="AT13" s="25">
        <f>AT11*Models!$H$38*Assumptions!$H$56</f>
        <v/>
      </c>
      <c r="AU13" s="25">
        <f>AU11*Models!$H$38*Assumptions!$H$56</f>
        <v/>
      </c>
      <c r="AV13" s="25">
        <f>AV11*Models!$H$38*Assumptions!$H$56</f>
        <v/>
      </c>
      <c r="AW13" s="25">
        <f>AW11*Models!$H$38*Assumptions!$H$56</f>
        <v/>
      </c>
      <c r="AX13" s="25">
        <f>AX11*Models!$H$38*Assumptions!$H$56</f>
        <v/>
      </c>
      <c r="AY13" s="25">
        <f>AY11*Models!$H$38*Assumptions!$H$56</f>
        <v/>
      </c>
      <c r="AZ13" s="25">
        <f>AZ11*Models!$H$38*Assumptions!$H$56</f>
        <v/>
      </c>
      <c r="BA13" s="25">
        <f>BA11*Models!$H$38*Assumptions!$H$56</f>
        <v/>
      </c>
      <c r="BB13" s="25">
        <f>BB11*Models!$H$38*Assumptions!$H$56</f>
        <v/>
      </c>
      <c r="BC13" s="25">
        <f>BC11*Models!$H$38*Assumptions!$H$56</f>
        <v/>
      </c>
      <c r="BD13" s="25">
        <f>BD11*Models!$H$38*Assumptions!$H$56</f>
        <v/>
      </c>
      <c r="BE13" s="25">
        <f>BE11*Models!$H$38*Assumptions!$H$56</f>
        <v/>
      </c>
      <c r="BF13" s="25">
        <f>BF11*Models!$H$38*Assumptions!$H$56</f>
        <v/>
      </c>
      <c r="BG13" s="25">
        <f>BG11*Models!$H$38*Assumptions!$H$56</f>
        <v/>
      </c>
      <c r="BH13" s="25">
        <f>BH11*Models!$H$38*Assumptions!$H$56</f>
        <v/>
      </c>
      <c r="BI13" s="25">
        <f>BI11*Models!$H$38*Assumptions!$H$56</f>
        <v/>
      </c>
      <c r="BJ13" s="25">
        <f>BJ11*Models!$H$38*Assumptions!$H$56</f>
        <v/>
      </c>
      <c r="BK13" s="25">
        <f>BK11*Models!$H$38*Assumptions!$H$56</f>
        <v/>
      </c>
      <c r="BL13" s="25">
        <f>BL11*Models!$H$38*Assumptions!$H$56</f>
        <v/>
      </c>
      <c r="BM13" s="25">
        <f>BM11*Models!$H$38*Assumptions!$H$56</f>
        <v/>
      </c>
      <c r="BN13" s="25">
        <f>BN11*Models!$H$38*Assumptions!$H$56</f>
        <v/>
      </c>
      <c r="BO13" s="25">
        <f>BO11*Models!$H$38*Assumptions!$H$56</f>
        <v/>
      </c>
      <c r="BP13" s="25">
        <f>BP11*Models!$H$38*Assumptions!$H$56</f>
        <v/>
      </c>
      <c r="BQ13" s="25">
        <f>BQ11*Models!$H$38*Assumptions!$H$56</f>
        <v/>
      </c>
      <c r="BR13" s="25">
        <f>BR11*Models!$H$38*Assumptions!$H$56</f>
        <v/>
      </c>
      <c r="BS13" s="25">
        <f>BS11*Models!$H$38*Assumptions!$H$56</f>
        <v/>
      </c>
      <c r="BT13" s="25">
        <f>BT11*Models!$H$38*Assumptions!$H$56</f>
        <v/>
      </c>
      <c r="BU13" s="25">
        <f>BU11*Models!$H$38*Assumptions!$H$56</f>
        <v/>
      </c>
      <c r="BV13" s="25">
        <f>BV11*Models!$H$38*Assumptions!$H$56</f>
        <v/>
      </c>
      <c r="BW13" s="25">
        <f>BW11*Models!$H$38*Assumptions!$H$56</f>
        <v/>
      </c>
      <c r="BX13" s="25">
        <f>BX11*Models!$H$38*Assumptions!$H$56</f>
        <v/>
      </c>
      <c r="BY13" s="25">
        <f>BY11*Models!$H$38*Assumptions!$H$56</f>
        <v/>
      </c>
      <c r="BZ13" s="25">
        <f>BZ11*Models!$H$38*Assumptions!$H$56</f>
        <v/>
      </c>
      <c r="CA13" s="25">
        <f>CA11*Models!$H$38*Assumptions!$H$56</f>
        <v/>
      </c>
      <c r="CB13" s="25">
        <f>CB11*Models!$H$38*Assumptions!$H$56</f>
        <v/>
      </c>
      <c r="CC13" s="25">
        <f>CC11*Models!$H$38*Assumptions!$H$56</f>
        <v/>
      </c>
      <c r="CD13" s="25">
        <f>CD11*Models!$H$38*Assumptions!$H$56</f>
        <v/>
      </c>
      <c r="CE13" s="25">
        <f>CE11*Models!$H$38*Assumptions!$H$56</f>
        <v/>
      </c>
      <c r="CF13" s="25">
        <f>CF11*Models!$H$38*Assumptions!$H$56</f>
        <v/>
      </c>
      <c r="CG13" s="25">
        <f>CG11*Models!$H$38*Assumptions!$H$56</f>
        <v/>
      </c>
      <c r="CH13" s="25">
        <f>CH11*Models!$H$38*Assumptions!$H$56</f>
        <v/>
      </c>
      <c r="CI13" s="25">
        <f>CI11*Models!$H$38*Assumptions!$H$56</f>
        <v/>
      </c>
      <c r="CJ13" s="25">
        <f>CJ11*Models!$H$38*Assumptions!$H$56</f>
        <v/>
      </c>
      <c r="CK13" s="25">
        <f>CK11*Models!$H$38*Assumptions!$H$56</f>
        <v/>
      </c>
      <c r="CL13" s="25">
        <f>CL11*Models!$H$38*Assumptions!$H$56</f>
        <v/>
      </c>
      <c r="CM13" s="25">
        <f>CM11*Models!$H$38*Assumptions!$H$56</f>
        <v/>
      </c>
      <c r="CN13" s="25">
        <f>CN11*Models!$H$38*Assumptions!$H$56</f>
        <v/>
      </c>
      <c r="CO13" s="25">
        <f>CO11*Models!$H$38*Assumptions!$H$56</f>
        <v/>
      </c>
      <c r="CP13" s="25">
        <f>CP11*Models!$H$38*Assumptions!$H$56</f>
        <v/>
      </c>
      <c r="CQ13" s="25">
        <f>CQ11*Models!$H$38*Assumptions!$H$56</f>
        <v/>
      </c>
      <c r="CR13" s="25">
        <f>CR11*Models!$H$38*Assumptions!$H$56</f>
        <v/>
      </c>
      <c r="CS13" s="25">
        <f>CS11*Models!$H$38*Assumptions!$H$56</f>
        <v/>
      </c>
      <c r="CT13" s="25">
        <f>CT11*Models!$H$38*Assumptions!$H$56</f>
        <v/>
      </c>
      <c r="CU13" s="25">
        <f>CU11*Models!$H$38*Assumptions!$H$56</f>
        <v/>
      </c>
      <c r="CV13" s="25">
        <f>CV11*Models!$H$38*Assumptions!$H$56</f>
        <v/>
      </c>
      <c r="CW13" s="25">
        <f>CW11*Models!$H$38*Assumptions!$H$56</f>
        <v/>
      </c>
      <c r="CX13" s="25">
        <f>CX11*Models!$H$38*Assumptions!$H$56</f>
        <v/>
      </c>
      <c r="CY13" s="25">
        <f>CY11*Models!$H$38*Assumptions!$H$56</f>
        <v/>
      </c>
      <c r="CZ13" s="25">
        <f>CZ11*Models!$H$38*Assumptions!$H$56</f>
        <v/>
      </c>
      <c r="DA13" s="25">
        <f>DA11*Models!$H$38*Assumptions!$H$56</f>
        <v/>
      </c>
      <c r="DB13" s="25">
        <f>DB11*Models!$H$38*Assumptions!$H$56</f>
        <v/>
      </c>
      <c r="DC13" s="25">
        <f>DC11*Models!$H$38*Assumptions!$H$56</f>
        <v/>
      </c>
      <c r="DD13" s="25">
        <f>DD11*Models!$H$38*Assumptions!$H$56</f>
        <v/>
      </c>
      <c r="DE13" s="25">
        <f>DE11*Models!$H$38*Assumptions!$H$56</f>
        <v/>
      </c>
      <c r="DF13" s="25">
        <f>DF11*Models!$H$38*Assumptions!$H$56</f>
        <v/>
      </c>
      <c r="DG13" s="25">
        <f>DG11*Models!$H$38*Assumptions!$H$56</f>
        <v/>
      </c>
      <c r="DH13" s="25">
        <f>DH11*Models!$H$38*Assumptions!$H$56</f>
        <v/>
      </c>
      <c r="DI13" s="25">
        <f>DI11*Models!$H$38*Assumptions!$H$56</f>
        <v/>
      </c>
      <c r="DJ13" s="25">
        <f>DJ11*Models!$H$38*Assumptions!$H$56</f>
        <v/>
      </c>
      <c r="DK13" s="25">
        <f>DK11*Models!$H$38*Assumptions!$H$56</f>
        <v/>
      </c>
      <c r="DL13" s="25">
        <f>DL11*Models!$H$38*Assumptions!$H$56</f>
        <v/>
      </c>
      <c r="DM13" s="25">
        <f>DM11*Models!$H$38*Assumptions!$H$56</f>
        <v/>
      </c>
      <c r="DN13" s="25">
        <f>DN11*Models!$H$38*Assumptions!$H$56</f>
        <v/>
      </c>
      <c r="DO13" s="25">
        <f>DO11*Models!$H$38*Assumptions!$H$56</f>
        <v/>
      </c>
      <c r="DP13" s="25">
        <f>DP11*Models!$H$38*Assumptions!$H$56</f>
        <v/>
      </c>
      <c r="DQ13" s="25">
        <f>DQ11*Models!$H$38*Assumptions!$H$56</f>
        <v/>
      </c>
      <c r="DR13" s="25">
        <f>DR11*Models!$H$38*Assumptions!$H$56</f>
        <v/>
      </c>
      <c r="DS13" s="25">
        <f>DS11*Models!$H$38*Assumptions!$H$56</f>
        <v/>
      </c>
    </row>
    <row r="14">
      <c r="A14" s="2" t="inlineStr">
        <is>
          <t>FD_AVAIL</t>
        </is>
      </c>
      <c r="B14" s="6" t="inlineStr">
        <is>
          <t>Conserved feed available</t>
        </is>
      </c>
      <c r="C14" s="2" t="inlineStr">
        <is>
          <t>kg DM</t>
        </is>
      </c>
      <c r="D14" s="25">
        <f>0+D13</f>
        <v/>
      </c>
      <c r="E14" s="25">
        <f>D16+E13</f>
        <v/>
      </c>
      <c r="F14" s="25">
        <f>E16+F13</f>
        <v/>
      </c>
      <c r="G14" s="25">
        <f>F16+G13</f>
        <v/>
      </c>
      <c r="H14" s="25">
        <f>G16+H13</f>
        <v/>
      </c>
      <c r="I14" s="25">
        <f>H16+I13</f>
        <v/>
      </c>
      <c r="J14" s="25">
        <f>I16+J13</f>
        <v/>
      </c>
      <c r="K14" s="25">
        <f>J16+K13</f>
        <v/>
      </c>
      <c r="L14" s="25">
        <f>K16+L13</f>
        <v/>
      </c>
      <c r="M14" s="25">
        <f>L16+M13</f>
        <v/>
      </c>
      <c r="N14" s="25">
        <f>M16+N13</f>
        <v/>
      </c>
      <c r="O14" s="25">
        <f>N16+O13</f>
        <v/>
      </c>
      <c r="P14" s="25">
        <f>O16+P13</f>
        <v/>
      </c>
      <c r="Q14" s="25">
        <f>P16+Q13</f>
        <v/>
      </c>
      <c r="R14" s="25">
        <f>Q16+R13</f>
        <v/>
      </c>
      <c r="S14" s="25">
        <f>R16+S13</f>
        <v/>
      </c>
      <c r="T14" s="25">
        <f>S16+T13</f>
        <v/>
      </c>
      <c r="U14" s="25">
        <f>T16+U13</f>
        <v/>
      </c>
      <c r="V14" s="25">
        <f>U16+V13</f>
        <v/>
      </c>
      <c r="W14" s="25">
        <f>V16+W13</f>
        <v/>
      </c>
      <c r="X14" s="25">
        <f>W16+X13</f>
        <v/>
      </c>
      <c r="Y14" s="25">
        <f>X16+Y13</f>
        <v/>
      </c>
      <c r="Z14" s="25">
        <f>Y16+Z13</f>
        <v/>
      </c>
      <c r="AA14" s="25">
        <f>Z16+AA13</f>
        <v/>
      </c>
      <c r="AB14" s="25">
        <f>AA16+AB13</f>
        <v/>
      </c>
      <c r="AC14" s="25">
        <f>AB16+AC13</f>
        <v/>
      </c>
      <c r="AD14" s="25">
        <f>AC16+AD13</f>
        <v/>
      </c>
      <c r="AE14" s="25">
        <f>AD16+AE13</f>
        <v/>
      </c>
      <c r="AF14" s="25">
        <f>AE16+AF13</f>
        <v/>
      </c>
      <c r="AG14" s="25">
        <f>AF16+AG13</f>
        <v/>
      </c>
      <c r="AH14" s="25">
        <f>AG16+AH13</f>
        <v/>
      </c>
      <c r="AI14" s="25">
        <f>AH16+AI13</f>
        <v/>
      </c>
      <c r="AJ14" s="25">
        <f>AI16+AJ13</f>
        <v/>
      </c>
      <c r="AK14" s="25">
        <f>AJ16+AK13</f>
        <v/>
      </c>
      <c r="AL14" s="25">
        <f>AK16+AL13</f>
        <v/>
      </c>
      <c r="AM14" s="25">
        <f>AL16+AM13</f>
        <v/>
      </c>
      <c r="AN14" s="25">
        <f>AM16+AN13</f>
        <v/>
      </c>
      <c r="AO14" s="25">
        <f>AN16+AO13</f>
        <v/>
      </c>
      <c r="AP14" s="25">
        <f>AO16+AP13</f>
        <v/>
      </c>
      <c r="AQ14" s="25">
        <f>AP16+AQ13</f>
        <v/>
      </c>
      <c r="AR14" s="25">
        <f>AQ16+AR13</f>
        <v/>
      </c>
      <c r="AS14" s="25">
        <f>AR16+AS13</f>
        <v/>
      </c>
      <c r="AT14" s="25">
        <f>AS16+AT13</f>
        <v/>
      </c>
      <c r="AU14" s="25">
        <f>AT16+AU13</f>
        <v/>
      </c>
      <c r="AV14" s="25">
        <f>AU16+AV13</f>
        <v/>
      </c>
      <c r="AW14" s="25">
        <f>AV16+AW13</f>
        <v/>
      </c>
      <c r="AX14" s="25">
        <f>AW16+AX13</f>
        <v/>
      </c>
      <c r="AY14" s="25">
        <f>AX16+AY13</f>
        <v/>
      </c>
      <c r="AZ14" s="25">
        <f>AY16+AZ13</f>
        <v/>
      </c>
      <c r="BA14" s="25">
        <f>AZ16+BA13</f>
        <v/>
      </c>
      <c r="BB14" s="25">
        <f>BA16+BB13</f>
        <v/>
      </c>
      <c r="BC14" s="25">
        <f>BB16+BC13</f>
        <v/>
      </c>
      <c r="BD14" s="25">
        <f>BC16+BD13</f>
        <v/>
      </c>
      <c r="BE14" s="25">
        <f>BD16+BE13</f>
        <v/>
      </c>
      <c r="BF14" s="25">
        <f>BE16+BF13</f>
        <v/>
      </c>
      <c r="BG14" s="25">
        <f>BF16+BG13</f>
        <v/>
      </c>
      <c r="BH14" s="25">
        <f>BG16+BH13</f>
        <v/>
      </c>
      <c r="BI14" s="25">
        <f>BH16+BI13</f>
        <v/>
      </c>
      <c r="BJ14" s="25">
        <f>BI16+BJ13</f>
        <v/>
      </c>
      <c r="BK14" s="25">
        <f>BJ16+BK13</f>
        <v/>
      </c>
      <c r="BL14" s="25">
        <f>BK16+BL13</f>
        <v/>
      </c>
      <c r="BM14" s="25">
        <f>BL16+BM13</f>
        <v/>
      </c>
      <c r="BN14" s="25">
        <f>BM16+BN13</f>
        <v/>
      </c>
      <c r="BO14" s="25">
        <f>BN16+BO13</f>
        <v/>
      </c>
      <c r="BP14" s="25">
        <f>BO16+BP13</f>
        <v/>
      </c>
      <c r="BQ14" s="25">
        <f>BP16+BQ13</f>
        <v/>
      </c>
      <c r="BR14" s="25">
        <f>BQ16+BR13</f>
        <v/>
      </c>
      <c r="BS14" s="25">
        <f>BR16+BS13</f>
        <v/>
      </c>
      <c r="BT14" s="25">
        <f>BS16+BT13</f>
        <v/>
      </c>
      <c r="BU14" s="25">
        <f>BT16+BU13</f>
        <v/>
      </c>
      <c r="BV14" s="25">
        <f>BU16+BV13</f>
        <v/>
      </c>
      <c r="BW14" s="25">
        <f>BV16+BW13</f>
        <v/>
      </c>
      <c r="BX14" s="25">
        <f>BW16+BX13</f>
        <v/>
      </c>
      <c r="BY14" s="25">
        <f>BX16+BY13</f>
        <v/>
      </c>
      <c r="BZ14" s="25">
        <f>BY16+BZ13</f>
        <v/>
      </c>
      <c r="CA14" s="25">
        <f>BZ16+CA13</f>
        <v/>
      </c>
      <c r="CB14" s="25">
        <f>CA16+CB13</f>
        <v/>
      </c>
      <c r="CC14" s="25">
        <f>CB16+CC13</f>
        <v/>
      </c>
      <c r="CD14" s="25">
        <f>CC16+CD13</f>
        <v/>
      </c>
      <c r="CE14" s="25">
        <f>CD16+CE13</f>
        <v/>
      </c>
      <c r="CF14" s="25">
        <f>CE16+CF13</f>
        <v/>
      </c>
      <c r="CG14" s="25">
        <f>CF16+CG13</f>
        <v/>
      </c>
      <c r="CH14" s="25">
        <f>CG16+CH13</f>
        <v/>
      </c>
      <c r="CI14" s="25">
        <f>CH16+CI13</f>
        <v/>
      </c>
      <c r="CJ14" s="25">
        <f>CI16+CJ13</f>
        <v/>
      </c>
      <c r="CK14" s="25">
        <f>CJ16+CK13</f>
        <v/>
      </c>
      <c r="CL14" s="25">
        <f>CK16+CL13</f>
        <v/>
      </c>
      <c r="CM14" s="25">
        <f>CL16+CM13</f>
        <v/>
      </c>
      <c r="CN14" s="25">
        <f>CM16+CN13</f>
        <v/>
      </c>
      <c r="CO14" s="25">
        <f>CN16+CO13</f>
        <v/>
      </c>
      <c r="CP14" s="25">
        <f>CO16+CP13</f>
        <v/>
      </c>
      <c r="CQ14" s="25">
        <f>CP16+CQ13</f>
        <v/>
      </c>
      <c r="CR14" s="25">
        <f>CQ16+CR13</f>
        <v/>
      </c>
      <c r="CS14" s="25">
        <f>CR16+CS13</f>
        <v/>
      </c>
      <c r="CT14" s="25">
        <f>CS16+CT13</f>
        <v/>
      </c>
      <c r="CU14" s="25">
        <f>CT16+CU13</f>
        <v/>
      </c>
      <c r="CV14" s="25">
        <f>CU16+CV13</f>
        <v/>
      </c>
      <c r="CW14" s="25">
        <f>CV16+CW13</f>
        <v/>
      </c>
      <c r="CX14" s="25">
        <f>CW16+CX13</f>
        <v/>
      </c>
      <c r="CY14" s="25">
        <f>CX16+CY13</f>
        <v/>
      </c>
      <c r="CZ14" s="25">
        <f>CY16+CZ13</f>
        <v/>
      </c>
      <c r="DA14" s="25">
        <f>CZ16+DA13</f>
        <v/>
      </c>
      <c r="DB14" s="25">
        <f>DA16+DB13</f>
        <v/>
      </c>
      <c r="DC14" s="25">
        <f>DB16+DC13</f>
        <v/>
      </c>
      <c r="DD14" s="25">
        <f>DC16+DD13</f>
        <v/>
      </c>
      <c r="DE14" s="25">
        <f>DD16+DE13</f>
        <v/>
      </c>
      <c r="DF14" s="25">
        <f>DE16+DF13</f>
        <v/>
      </c>
      <c r="DG14" s="25">
        <f>DF16+DG13</f>
        <v/>
      </c>
      <c r="DH14" s="25">
        <f>DG16+DH13</f>
        <v/>
      </c>
      <c r="DI14" s="25">
        <f>DH16+DI13</f>
        <v/>
      </c>
      <c r="DJ14" s="25">
        <f>DI16+DJ13</f>
        <v/>
      </c>
      <c r="DK14" s="25">
        <f>DJ16+DK13</f>
        <v/>
      </c>
      <c r="DL14" s="25">
        <f>DK16+DL13</f>
        <v/>
      </c>
      <c r="DM14" s="25">
        <f>DL16+DM13</f>
        <v/>
      </c>
      <c r="DN14" s="25">
        <f>DM16+DN13</f>
        <v/>
      </c>
      <c r="DO14" s="25">
        <f>DN16+DO13</f>
        <v/>
      </c>
      <c r="DP14" s="25">
        <f>DO16+DP13</f>
        <v/>
      </c>
      <c r="DQ14" s="25">
        <f>DP16+DQ13</f>
        <v/>
      </c>
      <c r="DR14" s="25">
        <f>DQ16+DR13</f>
        <v/>
      </c>
      <c r="DS14" s="25">
        <f>DR16+DS13</f>
        <v/>
      </c>
    </row>
    <row r="15">
      <c r="A15" s="2" t="inlineStr">
        <is>
          <t>FD_DRAWN</t>
        </is>
      </c>
      <c r="B15" s="6" t="inlineStr">
        <is>
          <t>Conserved feed used</t>
        </is>
      </c>
      <c r="C15" s="2" t="inlineStr">
        <is>
          <t>kg DM</t>
        </is>
      </c>
      <c r="D15" s="25">
        <f>MIN(D14,D12)</f>
        <v/>
      </c>
      <c r="E15" s="25">
        <f>MIN(E14,E12)</f>
        <v/>
      </c>
      <c r="F15" s="25">
        <f>MIN(F14,F12)</f>
        <v/>
      </c>
      <c r="G15" s="25">
        <f>MIN(G14,G12)</f>
        <v/>
      </c>
      <c r="H15" s="25">
        <f>MIN(H14,H12)</f>
        <v/>
      </c>
      <c r="I15" s="25">
        <f>MIN(I14,I12)</f>
        <v/>
      </c>
      <c r="J15" s="25">
        <f>MIN(J14,J12)</f>
        <v/>
      </c>
      <c r="K15" s="25">
        <f>MIN(K14,K12)</f>
        <v/>
      </c>
      <c r="L15" s="25">
        <f>MIN(L14,L12)</f>
        <v/>
      </c>
      <c r="M15" s="25">
        <f>MIN(M14,M12)</f>
        <v/>
      </c>
      <c r="N15" s="25">
        <f>MIN(N14,N12)</f>
        <v/>
      </c>
      <c r="O15" s="25">
        <f>MIN(O14,O12)</f>
        <v/>
      </c>
      <c r="P15" s="25">
        <f>MIN(P14,P12)</f>
        <v/>
      </c>
      <c r="Q15" s="25">
        <f>MIN(Q14,Q12)</f>
        <v/>
      </c>
      <c r="R15" s="25">
        <f>MIN(R14,R12)</f>
        <v/>
      </c>
      <c r="S15" s="25">
        <f>MIN(S14,S12)</f>
        <v/>
      </c>
      <c r="T15" s="25">
        <f>MIN(T14,T12)</f>
        <v/>
      </c>
      <c r="U15" s="25">
        <f>MIN(U14,U12)</f>
        <v/>
      </c>
      <c r="V15" s="25">
        <f>MIN(V14,V12)</f>
        <v/>
      </c>
      <c r="W15" s="25">
        <f>MIN(W14,W12)</f>
        <v/>
      </c>
      <c r="X15" s="25">
        <f>MIN(X14,X12)</f>
        <v/>
      </c>
      <c r="Y15" s="25">
        <f>MIN(Y14,Y12)</f>
        <v/>
      </c>
      <c r="Z15" s="25">
        <f>MIN(Z14,Z12)</f>
        <v/>
      </c>
      <c r="AA15" s="25">
        <f>MIN(AA14,AA12)</f>
        <v/>
      </c>
      <c r="AB15" s="25">
        <f>MIN(AB14,AB12)</f>
        <v/>
      </c>
      <c r="AC15" s="25">
        <f>MIN(AC14,AC12)</f>
        <v/>
      </c>
      <c r="AD15" s="25">
        <f>MIN(AD14,AD12)</f>
        <v/>
      </c>
      <c r="AE15" s="25">
        <f>MIN(AE14,AE12)</f>
        <v/>
      </c>
      <c r="AF15" s="25">
        <f>MIN(AF14,AF12)</f>
        <v/>
      </c>
      <c r="AG15" s="25">
        <f>MIN(AG14,AG12)</f>
        <v/>
      </c>
      <c r="AH15" s="25">
        <f>MIN(AH14,AH12)</f>
        <v/>
      </c>
      <c r="AI15" s="25">
        <f>MIN(AI14,AI12)</f>
        <v/>
      </c>
      <c r="AJ15" s="25">
        <f>MIN(AJ14,AJ12)</f>
        <v/>
      </c>
      <c r="AK15" s="25">
        <f>MIN(AK14,AK12)</f>
        <v/>
      </c>
      <c r="AL15" s="25">
        <f>MIN(AL14,AL12)</f>
        <v/>
      </c>
      <c r="AM15" s="25">
        <f>MIN(AM14,AM12)</f>
        <v/>
      </c>
      <c r="AN15" s="25">
        <f>MIN(AN14,AN12)</f>
        <v/>
      </c>
      <c r="AO15" s="25">
        <f>MIN(AO14,AO12)</f>
        <v/>
      </c>
      <c r="AP15" s="25">
        <f>MIN(AP14,AP12)</f>
        <v/>
      </c>
      <c r="AQ15" s="25">
        <f>MIN(AQ14,AQ12)</f>
        <v/>
      </c>
      <c r="AR15" s="25">
        <f>MIN(AR14,AR12)</f>
        <v/>
      </c>
      <c r="AS15" s="25">
        <f>MIN(AS14,AS12)</f>
        <v/>
      </c>
      <c r="AT15" s="25">
        <f>MIN(AT14,AT12)</f>
        <v/>
      </c>
      <c r="AU15" s="25">
        <f>MIN(AU14,AU12)</f>
        <v/>
      </c>
      <c r="AV15" s="25">
        <f>MIN(AV14,AV12)</f>
        <v/>
      </c>
      <c r="AW15" s="25">
        <f>MIN(AW14,AW12)</f>
        <v/>
      </c>
      <c r="AX15" s="25">
        <f>MIN(AX14,AX12)</f>
        <v/>
      </c>
      <c r="AY15" s="25">
        <f>MIN(AY14,AY12)</f>
        <v/>
      </c>
      <c r="AZ15" s="25">
        <f>MIN(AZ14,AZ12)</f>
        <v/>
      </c>
      <c r="BA15" s="25">
        <f>MIN(BA14,BA12)</f>
        <v/>
      </c>
      <c r="BB15" s="25">
        <f>MIN(BB14,BB12)</f>
        <v/>
      </c>
      <c r="BC15" s="25">
        <f>MIN(BC14,BC12)</f>
        <v/>
      </c>
      <c r="BD15" s="25">
        <f>MIN(BD14,BD12)</f>
        <v/>
      </c>
      <c r="BE15" s="25">
        <f>MIN(BE14,BE12)</f>
        <v/>
      </c>
      <c r="BF15" s="25">
        <f>MIN(BF14,BF12)</f>
        <v/>
      </c>
      <c r="BG15" s="25">
        <f>MIN(BG14,BG12)</f>
        <v/>
      </c>
      <c r="BH15" s="25">
        <f>MIN(BH14,BH12)</f>
        <v/>
      </c>
      <c r="BI15" s="25">
        <f>MIN(BI14,BI12)</f>
        <v/>
      </c>
      <c r="BJ15" s="25">
        <f>MIN(BJ14,BJ12)</f>
        <v/>
      </c>
      <c r="BK15" s="25">
        <f>MIN(BK14,BK12)</f>
        <v/>
      </c>
      <c r="BL15" s="25">
        <f>MIN(BL14,BL12)</f>
        <v/>
      </c>
      <c r="BM15" s="25">
        <f>MIN(BM14,BM12)</f>
        <v/>
      </c>
      <c r="BN15" s="25">
        <f>MIN(BN14,BN12)</f>
        <v/>
      </c>
      <c r="BO15" s="25">
        <f>MIN(BO14,BO12)</f>
        <v/>
      </c>
      <c r="BP15" s="25">
        <f>MIN(BP14,BP12)</f>
        <v/>
      </c>
      <c r="BQ15" s="25">
        <f>MIN(BQ14,BQ12)</f>
        <v/>
      </c>
      <c r="BR15" s="25">
        <f>MIN(BR14,BR12)</f>
        <v/>
      </c>
      <c r="BS15" s="25">
        <f>MIN(BS14,BS12)</f>
        <v/>
      </c>
      <c r="BT15" s="25">
        <f>MIN(BT14,BT12)</f>
        <v/>
      </c>
      <c r="BU15" s="25">
        <f>MIN(BU14,BU12)</f>
        <v/>
      </c>
      <c r="BV15" s="25">
        <f>MIN(BV14,BV12)</f>
        <v/>
      </c>
      <c r="BW15" s="25">
        <f>MIN(BW14,BW12)</f>
        <v/>
      </c>
      <c r="BX15" s="25">
        <f>MIN(BX14,BX12)</f>
        <v/>
      </c>
      <c r="BY15" s="25">
        <f>MIN(BY14,BY12)</f>
        <v/>
      </c>
      <c r="BZ15" s="25">
        <f>MIN(BZ14,BZ12)</f>
        <v/>
      </c>
      <c r="CA15" s="25">
        <f>MIN(CA14,CA12)</f>
        <v/>
      </c>
      <c r="CB15" s="25">
        <f>MIN(CB14,CB12)</f>
        <v/>
      </c>
      <c r="CC15" s="25">
        <f>MIN(CC14,CC12)</f>
        <v/>
      </c>
      <c r="CD15" s="25">
        <f>MIN(CD14,CD12)</f>
        <v/>
      </c>
      <c r="CE15" s="25">
        <f>MIN(CE14,CE12)</f>
        <v/>
      </c>
      <c r="CF15" s="25">
        <f>MIN(CF14,CF12)</f>
        <v/>
      </c>
      <c r="CG15" s="25">
        <f>MIN(CG14,CG12)</f>
        <v/>
      </c>
      <c r="CH15" s="25">
        <f>MIN(CH14,CH12)</f>
        <v/>
      </c>
      <c r="CI15" s="25">
        <f>MIN(CI14,CI12)</f>
        <v/>
      </c>
      <c r="CJ15" s="25">
        <f>MIN(CJ14,CJ12)</f>
        <v/>
      </c>
      <c r="CK15" s="25">
        <f>MIN(CK14,CK12)</f>
        <v/>
      </c>
      <c r="CL15" s="25">
        <f>MIN(CL14,CL12)</f>
        <v/>
      </c>
      <c r="CM15" s="25">
        <f>MIN(CM14,CM12)</f>
        <v/>
      </c>
      <c r="CN15" s="25">
        <f>MIN(CN14,CN12)</f>
        <v/>
      </c>
      <c r="CO15" s="25">
        <f>MIN(CO14,CO12)</f>
        <v/>
      </c>
      <c r="CP15" s="25">
        <f>MIN(CP14,CP12)</f>
        <v/>
      </c>
      <c r="CQ15" s="25">
        <f>MIN(CQ14,CQ12)</f>
        <v/>
      </c>
      <c r="CR15" s="25">
        <f>MIN(CR14,CR12)</f>
        <v/>
      </c>
      <c r="CS15" s="25">
        <f>MIN(CS14,CS12)</f>
        <v/>
      </c>
      <c r="CT15" s="25">
        <f>MIN(CT14,CT12)</f>
        <v/>
      </c>
      <c r="CU15" s="25">
        <f>MIN(CU14,CU12)</f>
        <v/>
      </c>
      <c r="CV15" s="25">
        <f>MIN(CV14,CV12)</f>
        <v/>
      </c>
      <c r="CW15" s="25">
        <f>MIN(CW14,CW12)</f>
        <v/>
      </c>
      <c r="CX15" s="25">
        <f>MIN(CX14,CX12)</f>
        <v/>
      </c>
      <c r="CY15" s="25">
        <f>MIN(CY14,CY12)</f>
        <v/>
      </c>
      <c r="CZ15" s="25">
        <f>MIN(CZ14,CZ12)</f>
        <v/>
      </c>
      <c r="DA15" s="25">
        <f>MIN(DA14,DA12)</f>
        <v/>
      </c>
      <c r="DB15" s="25">
        <f>MIN(DB14,DB12)</f>
        <v/>
      </c>
      <c r="DC15" s="25">
        <f>MIN(DC14,DC12)</f>
        <v/>
      </c>
      <c r="DD15" s="25">
        <f>MIN(DD14,DD12)</f>
        <v/>
      </c>
      <c r="DE15" s="25">
        <f>MIN(DE14,DE12)</f>
        <v/>
      </c>
      <c r="DF15" s="25">
        <f>MIN(DF14,DF12)</f>
        <v/>
      </c>
      <c r="DG15" s="25">
        <f>MIN(DG14,DG12)</f>
        <v/>
      </c>
      <c r="DH15" s="25">
        <f>MIN(DH14,DH12)</f>
        <v/>
      </c>
      <c r="DI15" s="25">
        <f>MIN(DI14,DI12)</f>
        <v/>
      </c>
      <c r="DJ15" s="25">
        <f>MIN(DJ14,DJ12)</f>
        <v/>
      </c>
      <c r="DK15" s="25">
        <f>MIN(DK14,DK12)</f>
        <v/>
      </c>
      <c r="DL15" s="25">
        <f>MIN(DL14,DL12)</f>
        <v/>
      </c>
      <c r="DM15" s="25">
        <f>MIN(DM14,DM12)</f>
        <v/>
      </c>
      <c r="DN15" s="25">
        <f>MIN(DN14,DN12)</f>
        <v/>
      </c>
      <c r="DO15" s="25">
        <f>MIN(DO14,DO12)</f>
        <v/>
      </c>
      <c r="DP15" s="25">
        <f>MIN(DP14,DP12)</f>
        <v/>
      </c>
      <c r="DQ15" s="25">
        <f>MIN(DQ14,DQ12)</f>
        <v/>
      </c>
      <c r="DR15" s="25">
        <f>MIN(DR14,DR12)</f>
        <v/>
      </c>
      <c r="DS15" s="25">
        <f>MIN(DS14,DS12)</f>
        <v/>
      </c>
    </row>
    <row r="16">
      <c r="A16" s="2" t="inlineStr">
        <is>
          <t>FD_STORE</t>
        </is>
      </c>
      <c r="B16" s="6" t="inlineStr">
        <is>
          <t>Conserved feed in store, closing</t>
        </is>
      </c>
      <c r="C16" s="2" t="inlineStr">
        <is>
          <t>kg DM</t>
        </is>
      </c>
      <c r="D16" s="25">
        <f>D14-D15</f>
        <v/>
      </c>
      <c r="E16" s="25">
        <f>E14-E15</f>
        <v/>
      </c>
      <c r="F16" s="25">
        <f>F14-F15</f>
        <v/>
      </c>
      <c r="G16" s="25">
        <f>G14-G15</f>
        <v/>
      </c>
      <c r="H16" s="25">
        <f>H14-H15</f>
        <v/>
      </c>
      <c r="I16" s="25">
        <f>I14-I15</f>
        <v/>
      </c>
      <c r="J16" s="25">
        <f>J14-J15</f>
        <v/>
      </c>
      <c r="K16" s="25">
        <f>K14-K15</f>
        <v/>
      </c>
      <c r="L16" s="25">
        <f>L14-L15</f>
        <v/>
      </c>
      <c r="M16" s="25">
        <f>M14-M15</f>
        <v/>
      </c>
      <c r="N16" s="25">
        <f>N14-N15</f>
        <v/>
      </c>
      <c r="O16" s="25">
        <f>O14-O15</f>
        <v/>
      </c>
      <c r="P16" s="25">
        <f>P14-P15</f>
        <v/>
      </c>
      <c r="Q16" s="25">
        <f>Q14-Q15</f>
        <v/>
      </c>
      <c r="R16" s="25">
        <f>R14-R15</f>
        <v/>
      </c>
      <c r="S16" s="25">
        <f>S14-S15</f>
        <v/>
      </c>
      <c r="T16" s="25">
        <f>T14-T15</f>
        <v/>
      </c>
      <c r="U16" s="25">
        <f>U14-U15</f>
        <v/>
      </c>
      <c r="V16" s="25">
        <f>V14-V15</f>
        <v/>
      </c>
      <c r="W16" s="25">
        <f>W14-W15</f>
        <v/>
      </c>
      <c r="X16" s="25">
        <f>X14-X15</f>
        <v/>
      </c>
      <c r="Y16" s="25">
        <f>Y14-Y15</f>
        <v/>
      </c>
      <c r="Z16" s="25">
        <f>Z14-Z15</f>
        <v/>
      </c>
      <c r="AA16" s="25">
        <f>AA14-AA15</f>
        <v/>
      </c>
      <c r="AB16" s="25">
        <f>AB14-AB15</f>
        <v/>
      </c>
      <c r="AC16" s="25">
        <f>AC14-AC15</f>
        <v/>
      </c>
      <c r="AD16" s="25">
        <f>AD14-AD15</f>
        <v/>
      </c>
      <c r="AE16" s="25">
        <f>AE14-AE15</f>
        <v/>
      </c>
      <c r="AF16" s="25">
        <f>AF14-AF15</f>
        <v/>
      </c>
      <c r="AG16" s="25">
        <f>AG14-AG15</f>
        <v/>
      </c>
      <c r="AH16" s="25">
        <f>AH14-AH15</f>
        <v/>
      </c>
      <c r="AI16" s="25">
        <f>AI14-AI15</f>
        <v/>
      </c>
      <c r="AJ16" s="25">
        <f>AJ14-AJ15</f>
        <v/>
      </c>
      <c r="AK16" s="25">
        <f>AK14-AK15</f>
        <v/>
      </c>
      <c r="AL16" s="25">
        <f>AL14-AL15</f>
        <v/>
      </c>
      <c r="AM16" s="25">
        <f>AM14-AM15</f>
        <v/>
      </c>
      <c r="AN16" s="25">
        <f>AN14-AN15</f>
        <v/>
      </c>
      <c r="AO16" s="25">
        <f>AO14-AO15</f>
        <v/>
      </c>
      <c r="AP16" s="25">
        <f>AP14-AP15</f>
        <v/>
      </c>
      <c r="AQ16" s="25">
        <f>AQ14-AQ15</f>
        <v/>
      </c>
      <c r="AR16" s="25">
        <f>AR14-AR15</f>
        <v/>
      </c>
      <c r="AS16" s="25">
        <f>AS14-AS15</f>
        <v/>
      </c>
      <c r="AT16" s="25">
        <f>AT14-AT15</f>
        <v/>
      </c>
      <c r="AU16" s="25">
        <f>AU14-AU15</f>
        <v/>
      </c>
      <c r="AV16" s="25">
        <f>AV14-AV15</f>
        <v/>
      </c>
      <c r="AW16" s="25">
        <f>AW14-AW15</f>
        <v/>
      </c>
      <c r="AX16" s="25">
        <f>AX14-AX15</f>
        <v/>
      </c>
      <c r="AY16" s="25">
        <f>AY14-AY15</f>
        <v/>
      </c>
      <c r="AZ16" s="25">
        <f>AZ14-AZ15</f>
        <v/>
      </c>
      <c r="BA16" s="25">
        <f>BA14-BA15</f>
        <v/>
      </c>
      <c r="BB16" s="25">
        <f>BB14-BB15</f>
        <v/>
      </c>
      <c r="BC16" s="25">
        <f>BC14-BC15</f>
        <v/>
      </c>
      <c r="BD16" s="25">
        <f>BD14-BD15</f>
        <v/>
      </c>
      <c r="BE16" s="25">
        <f>BE14-BE15</f>
        <v/>
      </c>
      <c r="BF16" s="25">
        <f>BF14-BF15</f>
        <v/>
      </c>
      <c r="BG16" s="25">
        <f>BG14-BG15</f>
        <v/>
      </c>
      <c r="BH16" s="25">
        <f>BH14-BH15</f>
        <v/>
      </c>
      <c r="BI16" s="25">
        <f>BI14-BI15</f>
        <v/>
      </c>
      <c r="BJ16" s="25">
        <f>BJ14-BJ15</f>
        <v/>
      </c>
      <c r="BK16" s="25">
        <f>BK14-BK15</f>
        <v/>
      </c>
      <c r="BL16" s="25">
        <f>BL14-BL15</f>
        <v/>
      </c>
      <c r="BM16" s="25">
        <f>BM14-BM15</f>
        <v/>
      </c>
      <c r="BN16" s="25">
        <f>BN14-BN15</f>
        <v/>
      </c>
      <c r="BO16" s="25">
        <f>BO14-BO15</f>
        <v/>
      </c>
      <c r="BP16" s="25">
        <f>BP14-BP15</f>
        <v/>
      </c>
      <c r="BQ16" s="25">
        <f>BQ14-BQ15</f>
        <v/>
      </c>
      <c r="BR16" s="25">
        <f>BR14-BR15</f>
        <v/>
      </c>
      <c r="BS16" s="25">
        <f>BS14-BS15</f>
        <v/>
      </c>
      <c r="BT16" s="25">
        <f>BT14-BT15</f>
        <v/>
      </c>
      <c r="BU16" s="25">
        <f>BU14-BU15</f>
        <v/>
      </c>
      <c r="BV16" s="25">
        <f>BV14-BV15</f>
        <v/>
      </c>
      <c r="BW16" s="25">
        <f>BW14-BW15</f>
        <v/>
      </c>
      <c r="BX16" s="25">
        <f>BX14-BX15</f>
        <v/>
      </c>
      <c r="BY16" s="25">
        <f>BY14-BY15</f>
        <v/>
      </c>
      <c r="BZ16" s="25">
        <f>BZ14-BZ15</f>
        <v/>
      </c>
      <c r="CA16" s="25">
        <f>CA14-CA15</f>
        <v/>
      </c>
      <c r="CB16" s="25">
        <f>CB14-CB15</f>
        <v/>
      </c>
      <c r="CC16" s="25">
        <f>CC14-CC15</f>
        <v/>
      </c>
      <c r="CD16" s="25">
        <f>CD14-CD15</f>
        <v/>
      </c>
      <c r="CE16" s="25">
        <f>CE14-CE15</f>
        <v/>
      </c>
      <c r="CF16" s="25">
        <f>CF14-CF15</f>
        <v/>
      </c>
      <c r="CG16" s="25">
        <f>CG14-CG15</f>
        <v/>
      </c>
      <c r="CH16" s="25">
        <f>CH14-CH15</f>
        <v/>
      </c>
      <c r="CI16" s="25">
        <f>CI14-CI15</f>
        <v/>
      </c>
      <c r="CJ16" s="25">
        <f>CJ14-CJ15</f>
        <v/>
      </c>
      <c r="CK16" s="25">
        <f>CK14-CK15</f>
        <v/>
      </c>
      <c r="CL16" s="25">
        <f>CL14-CL15</f>
        <v/>
      </c>
      <c r="CM16" s="25">
        <f>CM14-CM15</f>
        <v/>
      </c>
      <c r="CN16" s="25">
        <f>CN14-CN15</f>
        <v/>
      </c>
      <c r="CO16" s="25">
        <f>CO14-CO15</f>
        <v/>
      </c>
      <c r="CP16" s="25">
        <f>CP14-CP15</f>
        <v/>
      </c>
      <c r="CQ16" s="25">
        <f>CQ14-CQ15</f>
        <v/>
      </c>
      <c r="CR16" s="25">
        <f>CR14-CR15</f>
        <v/>
      </c>
      <c r="CS16" s="25">
        <f>CS14-CS15</f>
        <v/>
      </c>
      <c r="CT16" s="25">
        <f>CT14-CT15</f>
        <v/>
      </c>
      <c r="CU16" s="25">
        <f>CU14-CU15</f>
        <v/>
      </c>
      <c r="CV16" s="25">
        <f>CV14-CV15</f>
        <v/>
      </c>
      <c r="CW16" s="25">
        <f>CW14-CW15</f>
        <v/>
      </c>
      <c r="CX16" s="25">
        <f>CX14-CX15</f>
        <v/>
      </c>
      <c r="CY16" s="25">
        <f>CY14-CY15</f>
        <v/>
      </c>
      <c r="CZ16" s="25">
        <f>CZ14-CZ15</f>
        <v/>
      </c>
      <c r="DA16" s="25">
        <f>DA14-DA15</f>
        <v/>
      </c>
      <c r="DB16" s="25">
        <f>DB14-DB15</f>
        <v/>
      </c>
      <c r="DC16" s="25">
        <f>DC14-DC15</f>
        <v/>
      </c>
      <c r="DD16" s="25">
        <f>DD14-DD15</f>
        <v/>
      </c>
      <c r="DE16" s="25">
        <f>DE14-DE15</f>
        <v/>
      </c>
      <c r="DF16" s="25">
        <f>DF14-DF15</f>
        <v/>
      </c>
      <c r="DG16" s="25">
        <f>DG14-DG15</f>
        <v/>
      </c>
      <c r="DH16" s="25">
        <f>DH14-DH15</f>
        <v/>
      </c>
      <c r="DI16" s="25">
        <f>DI14-DI15</f>
        <v/>
      </c>
      <c r="DJ16" s="25">
        <f>DJ14-DJ15</f>
        <v/>
      </c>
      <c r="DK16" s="25">
        <f>DK14-DK15</f>
        <v/>
      </c>
      <c r="DL16" s="25">
        <f>DL14-DL15</f>
        <v/>
      </c>
      <c r="DM16" s="25">
        <f>DM14-DM15</f>
        <v/>
      </c>
      <c r="DN16" s="25">
        <f>DN14-DN15</f>
        <v/>
      </c>
      <c r="DO16" s="25">
        <f>DO14-DO15</f>
        <v/>
      </c>
      <c r="DP16" s="25">
        <f>DP14-DP15</f>
        <v/>
      </c>
      <c r="DQ16" s="25">
        <f>DQ14-DQ15</f>
        <v/>
      </c>
      <c r="DR16" s="25">
        <f>DR14-DR15</f>
        <v/>
      </c>
      <c r="DS16" s="25">
        <f>DS14-DS15</f>
        <v/>
      </c>
    </row>
    <row r="17">
      <c r="A17" s="2" t="inlineStr">
        <is>
          <t>FD_BUY</t>
        </is>
      </c>
      <c r="B17" s="3" t="inlineStr">
        <is>
          <t>Feed bought</t>
        </is>
      </c>
      <c r="C17" s="2" t="inlineStr">
        <is>
          <t>kg DM</t>
        </is>
      </c>
      <c r="D17" s="31">
        <f>D12-D15</f>
        <v/>
      </c>
      <c r="E17" s="31">
        <f>E12-E15</f>
        <v/>
      </c>
      <c r="F17" s="31">
        <f>F12-F15</f>
        <v/>
      </c>
      <c r="G17" s="31">
        <f>G12-G15</f>
        <v/>
      </c>
      <c r="H17" s="31">
        <f>H12-H15</f>
        <v/>
      </c>
      <c r="I17" s="31">
        <f>I12-I15</f>
        <v/>
      </c>
      <c r="J17" s="31">
        <f>J12-J15</f>
        <v/>
      </c>
      <c r="K17" s="31">
        <f>K12-K15</f>
        <v/>
      </c>
      <c r="L17" s="31">
        <f>L12-L15</f>
        <v/>
      </c>
      <c r="M17" s="31">
        <f>M12-M15</f>
        <v/>
      </c>
      <c r="N17" s="31">
        <f>N12-N15</f>
        <v/>
      </c>
      <c r="O17" s="31">
        <f>O12-O15</f>
        <v/>
      </c>
      <c r="P17" s="31">
        <f>P12-P15</f>
        <v/>
      </c>
      <c r="Q17" s="31">
        <f>Q12-Q15</f>
        <v/>
      </c>
      <c r="R17" s="31">
        <f>R12-R15</f>
        <v/>
      </c>
      <c r="S17" s="31">
        <f>S12-S15</f>
        <v/>
      </c>
      <c r="T17" s="31">
        <f>T12-T15</f>
        <v/>
      </c>
      <c r="U17" s="31">
        <f>U12-U15</f>
        <v/>
      </c>
      <c r="V17" s="31">
        <f>V12-V15</f>
        <v/>
      </c>
      <c r="W17" s="31">
        <f>W12-W15</f>
        <v/>
      </c>
      <c r="X17" s="31">
        <f>X12-X15</f>
        <v/>
      </c>
      <c r="Y17" s="31">
        <f>Y12-Y15</f>
        <v/>
      </c>
      <c r="Z17" s="31">
        <f>Z12-Z15</f>
        <v/>
      </c>
      <c r="AA17" s="31">
        <f>AA12-AA15</f>
        <v/>
      </c>
      <c r="AB17" s="31">
        <f>AB12-AB15</f>
        <v/>
      </c>
      <c r="AC17" s="31">
        <f>AC12-AC15</f>
        <v/>
      </c>
      <c r="AD17" s="31">
        <f>AD12-AD15</f>
        <v/>
      </c>
      <c r="AE17" s="31">
        <f>AE12-AE15</f>
        <v/>
      </c>
      <c r="AF17" s="31">
        <f>AF12-AF15</f>
        <v/>
      </c>
      <c r="AG17" s="31">
        <f>AG12-AG15</f>
        <v/>
      </c>
      <c r="AH17" s="31">
        <f>AH12-AH15</f>
        <v/>
      </c>
      <c r="AI17" s="31">
        <f>AI12-AI15</f>
        <v/>
      </c>
      <c r="AJ17" s="31">
        <f>AJ12-AJ15</f>
        <v/>
      </c>
      <c r="AK17" s="31">
        <f>AK12-AK15</f>
        <v/>
      </c>
      <c r="AL17" s="31">
        <f>AL12-AL15</f>
        <v/>
      </c>
      <c r="AM17" s="31">
        <f>AM12-AM15</f>
        <v/>
      </c>
      <c r="AN17" s="31">
        <f>AN12-AN15</f>
        <v/>
      </c>
      <c r="AO17" s="31">
        <f>AO12-AO15</f>
        <v/>
      </c>
      <c r="AP17" s="31">
        <f>AP12-AP15</f>
        <v/>
      </c>
      <c r="AQ17" s="31">
        <f>AQ12-AQ15</f>
        <v/>
      </c>
      <c r="AR17" s="31">
        <f>AR12-AR15</f>
        <v/>
      </c>
      <c r="AS17" s="31">
        <f>AS12-AS15</f>
        <v/>
      </c>
      <c r="AT17" s="31">
        <f>AT12-AT15</f>
        <v/>
      </c>
      <c r="AU17" s="31">
        <f>AU12-AU15</f>
        <v/>
      </c>
      <c r="AV17" s="31">
        <f>AV12-AV15</f>
        <v/>
      </c>
      <c r="AW17" s="31">
        <f>AW12-AW15</f>
        <v/>
      </c>
      <c r="AX17" s="31">
        <f>AX12-AX15</f>
        <v/>
      </c>
      <c r="AY17" s="31">
        <f>AY12-AY15</f>
        <v/>
      </c>
      <c r="AZ17" s="31">
        <f>AZ12-AZ15</f>
        <v/>
      </c>
      <c r="BA17" s="31">
        <f>BA12-BA15</f>
        <v/>
      </c>
      <c r="BB17" s="31">
        <f>BB12-BB15</f>
        <v/>
      </c>
      <c r="BC17" s="31">
        <f>BC12-BC15</f>
        <v/>
      </c>
      <c r="BD17" s="31">
        <f>BD12-BD15</f>
        <v/>
      </c>
      <c r="BE17" s="31">
        <f>BE12-BE15</f>
        <v/>
      </c>
      <c r="BF17" s="31">
        <f>BF12-BF15</f>
        <v/>
      </c>
      <c r="BG17" s="31">
        <f>BG12-BG15</f>
        <v/>
      </c>
      <c r="BH17" s="31">
        <f>BH12-BH15</f>
        <v/>
      </c>
      <c r="BI17" s="31">
        <f>BI12-BI15</f>
        <v/>
      </c>
      <c r="BJ17" s="31">
        <f>BJ12-BJ15</f>
        <v/>
      </c>
      <c r="BK17" s="31">
        <f>BK12-BK15</f>
        <v/>
      </c>
      <c r="BL17" s="31">
        <f>BL12-BL15</f>
        <v/>
      </c>
      <c r="BM17" s="31">
        <f>BM12-BM15</f>
        <v/>
      </c>
      <c r="BN17" s="31">
        <f>BN12-BN15</f>
        <v/>
      </c>
      <c r="BO17" s="31">
        <f>BO12-BO15</f>
        <v/>
      </c>
      <c r="BP17" s="31">
        <f>BP12-BP15</f>
        <v/>
      </c>
      <c r="BQ17" s="31">
        <f>BQ12-BQ15</f>
        <v/>
      </c>
      <c r="BR17" s="31">
        <f>BR12-BR15</f>
        <v/>
      </c>
      <c r="BS17" s="31">
        <f>BS12-BS15</f>
        <v/>
      </c>
      <c r="BT17" s="31">
        <f>BT12-BT15</f>
        <v/>
      </c>
      <c r="BU17" s="31">
        <f>BU12-BU15</f>
        <v/>
      </c>
      <c r="BV17" s="31">
        <f>BV12-BV15</f>
        <v/>
      </c>
      <c r="BW17" s="31">
        <f>BW12-BW15</f>
        <v/>
      </c>
      <c r="BX17" s="31">
        <f>BX12-BX15</f>
        <v/>
      </c>
      <c r="BY17" s="31">
        <f>BY12-BY15</f>
        <v/>
      </c>
      <c r="BZ17" s="31">
        <f>BZ12-BZ15</f>
        <v/>
      </c>
      <c r="CA17" s="31">
        <f>CA12-CA15</f>
        <v/>
      </c>
      <c r="CB17" s="31">
        <f>CB12-CB15</f>
        <v/>
      </c>
      <c r="CC17" s="31">
        <f>CC12-CC15</f>
        <v/>
      </c>
      <c r="CD17" s="31">
        <f>CD12-CD15</f>
        <v/>
      </c>
      <c r="CE17" s="31">
        <f>CE12-CE15</f>
        <v/>
      </c>
      <c r="CF17" s="31">
        <f>CF12-CF15</f>
        <v/>
      </c>
      <c r="CG17" s="31">
        <f>CG12-CG15</f>
        <v/>
      </c>
      <c r="CH17" s="31">
        <f>CH12-CH15</f>
        <v/>
      </c>
      <c r="CI17" s="31">
        <f>CI12-CI15</f>
        <v/>
      </c>
      <c r="CJ17" s="31">
        <f>CJ12-CJ15</f>
        <v/>
      </c>
      <c r="CK17" s="31">
        <f>CK12-CK15</f>
        <v/>
      </c>
      <c r="CL17" s="31">
        <f>CL12-CL15</f>
        <v/>
      </c>
      <c r="CM17" s="31">
        <f>CM12-CM15</f>
        <v/>
      </c>
      <c r="CN17" s="31">
        <f>CN12-CN15</f>
        <v/>
      </c>
      <c r="CO17" s="31">
        <f>CO12-CO15</f>
        <v/>
      </c>
      <c r="CP17" s="31">
        <f>CP12-CP15</f>
        <v/>
      </c>
      <c r="CQ17" s="31">
        <f>CQ12-CQ15</f>
        <v/>
      </c>
      <c r="CR17" s="31">
        <f>CR12-CR15</f>
        <v/>
      </c>
      <c r="CS17" s="31">
        <f>CS12-CS15</f>
        <v/>
      </c>
      <c r="CT17" s="31">
        <f>CT12-CT15</f>
        <v/>
      </c>
      <c r="CU17" s="31">
        <f>CU12-CU15</f>
        <v/>
      </c>
      <c r="CV17" s="31">
        <f>CV12-CV15</f>
        <v/>
      </c>
      <c r="CW17" s="31">
        <f>CW12-CW15</f>
        <v/>
      </c>
      <c r="CX17" s="31">
        <f>CX12-CX15</f>
        <v/>
      </c>
      <c r="CY17" s="31">
        <f>CY12-CY15</f>
        <v/>
      </c>
      <c r="CZ17" s="31">
        <f>CZ12-CZ15</f>
        <v/>
      </c>
      <c r="DA17" s="31">
        <f>DA12-DA15</f>
        <v/>
      </c>
      <c r="DB17" s="31">
        <f>DB12-DB15</f>
        <v/>
      </c>
      <c r="DC17" s="31">
        <f>DC12-DC15</f>
        <v/>
      </c>
      <c r="DD17" s="31">
        <f>DD12-DD15</f>
        <v/>
      </c>
      <c r="DE17" s="31">
        <f>DE12-DE15</f>
        <v/>
      </c>
      <c r="DF17" s="31">
        <f>DF12-DF15</f>
        <v/>
      </c>
      <c r="DG17" s="31">
        <f>DG12-DG15</f>
        <v/>
      </c>
      <c r="DH17" s="31">
        <f>DH12-DH15</f>
        <v/>
      </c>
      <c r="DI17" s="31">
        <f>DI12-DI15</f>
        <v/>
      </c>
      <c r="DJ17" s="31">
        <f>DJ12-DJ15</f>
        <v/>
      </c>
      <c r="DK17" s="31">
        <f>DK12-DK15</f>
        <v/>
      </c>
      <c r="DL17" s="31">
        <f>DL12-DL15</f>
        <v/>
      </c>
      <c r="DM17" s="31">
        <f>DM12-DM15</f>
        <v/>
      </c>
      <c r="DN17" s="31">
        <f>DN12-DN15</f>
        <v/>
      </c>
      <c r="DO17" s="31">
        <f>DO12-DO15</f>
        <v/>
      </c>
      <c r="DP17" s="31">
        <f>DP12-DP15</f>
        <v/>
      </c>
      <c r="DQ17" s="31">
        <f>DQ12-DQ15</f>
        <v/>
      </c>
      <c r="DR17" s="31">
        <f>DR12-DR15</f>
        <v/>
      </c>
      <c r="DS17" s="31">
        <f>DS12-DS15</f>
        <v/>
      </c>
    </row>
    <row r="18">
      <c r="A18" s="2" t="inlineStr">
        <is>
          <t>FD_BUYCOST</t>
        </is>
      </c>
      <c r="B18" s="3" t="inlineStr">
        <is>
          <t>Feed bought</t>
        </is>
      </c>
      <c r="C18" s="2" t="inlineStr">
        <is>
          <t>RWF</t>
        </is>
      </c>
      <c r="D18" s="31">
        <f>D17*Assumptions!$H$58*Sensitivity!$C$9</f>
        <v/>
      </c>
      <c r="E18" s="31">
        <f>E17*Assumptions!$H$58*Sensitivity!$C$9</f>
        <v/>
      </c>
      <c r="F18" s="31">
        <f>F17*Assumptions!$H$58*Sensitivity!$C$9</f>
        <v/>
      </c>
      <c r="G18" s="31">
        <f>G17*Assumptions!$H$58*Sensitivity!$C$9</f>
        <v/>
      </c>
      <c r="H18" s="31">
        <f>H17*Assumptions!$H$58*Sensitivity!$C$9</f>
        <v/>
      </c>
      <c r="I18" s="31">
        <f>I17*Assumptions!$H$58*Sensitivity!$C$9</f>
        <v/>
      </c>
      <c r="J18" s="31">
        <f>J17*Assumptions!$H$58*Sensitivity!$C$9</f>
        <v/>
      </c>
      <c r="K18" s="31">
        <f>K17*Assumptions!$H$58*Sensitivity!$C$9</f>
        <v/>
      </c>
      <c r="L18" s="31">
        <f>L17*Assumptions!$H$58*Sensitivity!$C$9</f>
        <v/>
      </c>
      <c r="M18" s="31">
        <f>M17*Assumptions!$H$58*Sensitivity!$C$9</f>
        <v/>
      </c>
      <c r="N18" s="31">
        <f>N17*Assumptions!$H$58*Sensitivity!$C$9</f>
        <v/>
      </c>
      <c r="O18" s="31">
        <f>O17*Assumptions!$H$58*Sensitivity!$C$9</f>
        <v/>
      </c>
      <c r="P18" s="31">
        <f>P17*Assumptions!$H$58*Sensitivity!$C$9</f>
        <v/>
      </c>
      <c r="Q18" s="31">
        <f>Q17*Assumptions!$H$58*Sensitivity!$C$9</f>
        <v/>
      </c>
      <c r="R18" s="31">
        <f>R17*Assumptions!$H$58*Sensitivity!$C$9</f>
        <v/>
      </c>
      <c r="S18" s="31">
        <f>S17*Assumptions!$H$58*Sensitivity!$C$9</f>
        <v/>
      </c>
      <c r="T18" s="31">
        <f>T17*Assumptions!$H$58*Sensitivity!$C$9</f>
        <v/>
      </c>
      <c r="U18" s="31">
        <f>U17*Assumptions!$H$58*Sensitivity!$C$9</f>
        <v/>
      </c>
      <c r="V18" s="31">
        <f>V17*Assumptions!$H$58*Sensitivity!$C$9</f>
        <v/>
      </c>
      <c r="W18" s="31">
        <f>W17*Assumptions!$H$58*Sensitivity!$C$9</f>
        <v/>
      </c>
      <c r="X18" s="31">
        <f>X17*Assumptions!$H$58*Sensitivity!$C$9</f>
        <v/>
      </c>
      <c r="Y18" s="31">
        <f>Y17*Assumptions!$H$58*Sensitivity!$C$9</f>
        <v/>
      </c>
      <c r="Z18" s="31">
        <f>Z17*Assumptions!$H$58*Sensitivity!$C$9</f>
        <v/>
      </c>
      <c r="AA18" s="31">
        <f>AA17*Assumptions!$H$58*Sensitivity!$C$9</f>
        <v/>
      </c>
      <c r="AB18" s="31">
        <f>AB17*Assumptions!$H$58*Sensitivity!$C$9</f>
        <v/>
      </c>
      <c r="AC18" s="31">
        <f>AC17*Assumptions!$H$58*Sensitivity!$C$9</f>
        <v/>
      </c>
      <c r="AD18" s="31">
        <f>AD17*Assumptions!$H$58*Sensitivity!$C$9</f>
        <v/>
      </c>
      <c r="AE18" s="31">
        <f>AE17*Assumptions!$H$58*Sensitivity!$C$9</f>
        <v/>
      </c>
      <c r="AF18" s="31">
        <f>AF17*Assumptions!$H$58*Sensitivity!$C$9</f>
        <v/>
      </c>
      <c r="AG18" s="31">
        <f>AG17*Assumptions!$H$58*Sensitivity!$C$9</f>
        <v/>
      </c>
      <c r="AH18" s="31">
        <f>AH17*Assumptions!$H$58*Sensitivity!$C$9</f>
        <v/>
      </c>
      <c r="AI18" s="31">
        <f>AI17*Assumptions!$H$58*Sensitivity!$C$9</f>
        <v/>
      </c>
      <c r="AJ18" s="31">
        <f>AJ17*Assumptions!$H$58*Sensitivity!$C$9</f>
        <v/>
      </c>
      <c r="AK18" s="31">
        <f>AK17*Assumptions!$H$58*Sensitivity!$C$9</f>
        <v/>
      </c>
      <c r="AL18" s="31">
        <f>AL17*Assumptions!$H$58*Sensitivity!$C$9</f>
        <v/>
      </c>
      <c r="AM18" s="31">
        <f>AM17*Assumptions!$H$58*Sensitivity!$C$9</f>
        <v/>
      </c>
      <c r="AN18" s="31">
        <f>AN17*Assumptions!$H$58*Sensitivity!$C$9</f>
        <v/>
      </c>
      <c r="AO18" s="31">
        <f>AO17*Assumptions!$H$58*Sensitivity!$C$9</f>
        <v/>
      </c>
      <c r="AP18" s="31">
        <f>AP17*Assumptions!$H$58*Sensitivity!$C$9</f>
        <v/>
      </c>
      <c r="AQ18" s="31">
        <f>AQ17*Assumptions!$H$58*Sensitivity!$C$9</f>
        <v/>
      </c>
      <c r="AR18" s="31">
        <f>AR17*Assumptions!$H$58*Sensitivity!$C$9</f>
        <v/>
      </c>
      <c r="AS18" s="31">
        <f>AS17*Assumptions!$H$58*Sensitivity!$C$9</f>
        <v/>
      </c>
      <c r="AT18" s="31">
        <f>AT17*Assumptions!$H$58*Sensitivity!$C$9</f>
        <v/>
      </c>
      <c r="AU18" s="31">
        <f>AU17*Assumptions!$H$58*Sensitivity!$C$9</f>
        <v/>
      </c>
      <c r="AV18" s="31">
        <f>AV17*Assumptions!$H$58*Sensitivity!$C$9</f>
        <v/>
      </c>
      <c r="AW18" s="31">
        <f>AW17*Assumptions!$H$58*Sensitivity!$C$9</f>
        <v/>
      </c>
      <c r="AX18" s="31">
        <f>AX17*Assumptions!$H$58*Sensitivity!$C$9</f>
        <v/>
      </c>
      <c r="AY18" s="31">
        <f>AY17*Assumptions!$H$58*Sensitivity!$C$9</f>
        <v/>
      </c>
      <c r="AZ18" s="31">
        <f>AZ17*Assumptions!$H$58*Sensitivity!$C$9</f>
        <v/>
      </c>
      <c r="BA18" s="31">
        <f>BA17*Assumptions!$H$58*Sensitivity!$C$9</f>
        <v/>
      </c>
      <c r="BB18" s="31">
        <f>BB17*Assumptions!$H$58*Sensitivity!$C$9</f>
        <v/>
      </c>
      <c r="BC18" s="31">
        <f>BC17*Assumptions!$H$58*Sensitivity!$C$9</f>
        <v/>
      </c>
      <c r="BD18" s="31">
        <f>BD17*Assumptions!$H$58*Sensitivity!$C$9</f>
        <v/>
      </c>
      <c r="BE18" s="31">
        <f>BE17*Assumptions!$H$58*Sensitivity!$C$9</f>
        <v/>
      </c>
      <c r="BF18" s="31">
        <f>BF17*Assumptions!$H$58*Sensitivity!$C$9</f>
        <v/>
      </c>
      <c r="BG18" s="31">
        <f>BG17*Assumptions!$H$58*Sensitivity!$C$9</f>
        <v/>
      </c>
      <c r="BH18" s="31">
        <f>BH17*Assumptions!$H$58*Sensitivity!$C$9</f>
        <v/>
      </c>
      <c r="BI18" s="31">
        <f>BI17*Assumptions!$H$58*Sensitivity!$C$9</f>
        <v/>
      </c>
      <c r="BJ18" s="31">
        <f>BJ17*Assumptions!$H$58*Sensitivity!$C$9</f>
        <v/>
      </c>
      <c r="BK18" s="31">
        <f>BK17*Assumptions!$H$58*Sensitivity!$C$9</f>
        <v/>
      </c>
      <c r="BL18" s="31">
        <f>BL17*Assumptions!$H$58*Sensitivity!$C$9</f>
        <v/>
      </c>
      <c r="BM18" s="31">
        <f>BM17*Assumptions!$H$58*Sensitivity!$C$9</f>
        <v/>
      </c>
      <c r="BN18" s="31">
        <f>BN17*Assumptions!$H$58*Sensitivity!$C$9</f>
        <v/>
      </c>
      <c r="BO18" s="31">
        <f>BO17*Assumptions!$H$58*Sensitivity!$C$9</f>
        <v/>
      </c>
      <c r="BP18" s="31">
        <f>BP17*Assumptions!$H$58*Sensitivity!$C$9</f>
        <v/>
      </c>
      <c r="BQ18" s="31">
        <f>BQ17*Assumptions!$H$58*Sensitivity!$C$9</f>
        <v/>
      </c>
      <c r="BR18" s="31">
        <f>BR17*Assumptions!$H$58*Sensitivity!$C$9</f>
        <v/>
      </c>
      <c r="BS18" s="31">
        <f>BS17*Assumptions!$H$58*Sensitivity!$C$9</f>
        <v/>
      </c>
      <c r="BT18" s="31">
        <f>BT17*Assumptions!$H$58*Sensitivity!$C$9</f>
        <v/>
      </c>
      <c r="BU18" s="31">
        <f>BU17*Assumptions!$H$58*Sensitivity!$C$9</f>
        <v/>
      </c>
      <c r="BV18" s="31">
        <f>BV17*Assumptions!$H$58*Sensitivity!$C$9</f>
        <v/>
      </c>
      <c r="BW18" s="31">
        <f>BW17*Assumptions!$H$58*Sensitivity!$C$9</f>
        <v/>
      </c>
      <c r="BX18" s="31">
        <f>BX17*Assumptions!$H$58*Sensitivity!$C$9</f>
        <v/>
      </c>
      <c r="BY18" s="31">
        <f>BY17*Assumptions!$H$58*Sensitivity!$C$9</f>
        <v/>
      </c>
      <c r="BZ18" s="31">
        <f>BZ17*Assumptions!$H$58*Sensitivity!$C$9</f>
        <v/>
      </c>
      <c r="CA18" s="31">
        <f>CA17*Assumptions!$H$58*Sensitivity!$C$9</f>
        <v/>
      </c>
      <c r="CB18" s="31">
        <f>CB17*Assumptions!$H$58*Sensitivity!$C$9</f>
        <v/>
      </c>
      <c r="CC18" s="31">
        <f>CC17*Assumptions!$H$58*Sensitivity!$C$9</f>
        <v/>
      </c>
      <c r="CD18" s="31">
        <f>CD17*Assumptions!$H$58*Sensitivity!$C$9</f>
        <v/>
      </c>
      <c r="CE18" s="31">
        <f>CE17*Assumptions!$H$58*Sensitivity!$C$9</f>
        <v/>
      </c>
      <c r="CF18" s="31">
        <f>CF17*Assumptions!$H$58*Sensitivity!$C$9</f>
        <v/>
      </c>
      <c r="CG18" s="31">
        <f>CG17*Assumptions!$H$58*Sensitivity!$C$9</f>
        <v/>
      </c>
      <c r="CH18" s="31">
        <f>CH17*Assumptions!$H$58*Sensitivity!$C$9</f>
        <v/>
      </c>
      <c r="CI18" s="31">
        <f>CI17*Assumptions!$H$58*Sensitivity!$C$9</f>
        <v/>
      </c>
      <c r="CJ18" s="31">
        <f>CJ17*Assumptions!$H$58*Sensitivity!$C$9</f>
        <v/>
      </c>
      <c r="CK18" s="31">
        <f>CK17*Assumptions!$H$58*Sensitivity!$C$9</f>
        <v/>
      </c>
      <c r="CL18" s="31">
        <f>CL17*Assumptions!$H$58*Sensitivity!$C$9</f>
        <v/>
      </c>
      <c r="CM18" s="31">
        <f>CM17*Assumptions!$H$58*Sensitivity!$C$9</f>
        <v/>
      </c>
      <c r="CN18" s="31">
        <f>CN17*Assumptions!$H$58*Sensitivity!$C$9</f>
        <v/>
      </c>
      <c r="CO18" s="31">
        <f>CO17*Assumptions!$H$58*Sensitivity!$C$9</f>
        <v/>
      </c>
      <c r="CP18" s="31">
        <f>CP17*Assumptions!$H$58*Sensitivity!$C$9</f>
        <v/>
      </c>
      <c r="CQ18" s="31">
        <f>CQ17*Assumptions!$H$58*Sensitivity!$C$9</f>
        <v/>
      </c>
      <c r="CR18" s="31">
        <f>CR17*Assumptions!$H$58*Sensitivity!$C$9</f>
        <v/>
      </c>
      <c r="CS18" s="31">
        <f>CS17*Assumptions!$H$58*Sensitivity!$C$9</f>
        <v/>
      </c>
      <c r="CT18" s="31">
        <f>CT17*Assumptions!$H$58*Sensitivity!$C$9</f>
        <v/>
      </c>
      <c r="CU18" s="31">
        <f>CU17*Assumptions!$H$58*Sensitivity!$C$9</f>
        <v/>
      </c>
      <c r="CV18" s="31">
        <f>CV17*Assumptions!$H$58*Sensitivity!$C$9</f>
        <v/>
      </c>
      <c r="CW18" s="31">
        <f>CW17*Assumptions!$H$58*Sensitivity!$C$9</f>
        <v/>
      </c>
      <c r="CX18" s="31">
        <f>CX17*Assumptions!$H$58*Sensitivity!$C$9</f>
        <v/>
      </c>
      <c r="CY18" s="31">
        <f>CY17*Assumptions!$H$58*Sensitivity!$C$9</f>
        <v/>
      </c>
      <c r="CZ18" s="31">
        <f>CZ17*Assumptions!$H$58*Sensitivity!$C$9</f>
        <v/>
      </c>
      <c r="DA18" s="31">
        <f>DA17*Assumptions!$H$58*Sensitivity!$C$9</f>
        <v/>
      </c>
      <c r="DB18" s="31">
        <f>DB17*Assumptions!$H$58*Sensitivity!$C$9</f>
        <v/>
      </c>
      <c r="DC18" s="31">
        <f>DC17*Assumptions!$H$58*Sensitivity!$C$9</f>
        <v/>
      </c>
      <c r="DD18" s="31">
        <f>DD17*Assumptions!$H$58*Sensitivity!$C$9</f>
        <v/>
      </c>
      <c r="DE18" s="31">
        <f>DE17*Assumptions!$H$58*Sensitivity!$C$9</f>
        <v/>
      </c>
      <c r="DF18" s="31">
        <f>DF17*Assumptions!$H$58*Sensitivity!$C$9</f>
        <v/>
      </c>
      <c r="DG18" s="31">
        <f>DG17*Assumptions!$H$58*Sensitivity!$C$9</f>
        <v/>
      </c>
      <c r="DH18" s="31">
        <f>DH17*Assumptions!$H$58*Sensitivity!$C$9</f>
        <v/>
      </c>
      <c r="DI18" s="31">
        <f>DI17*Assumptions!$H$58*Sensitivity!$C$9</f>
        <v/>
      </c>
      <c r="DJ18" s="31">
        <f>DJ17*Assumptions!$H$58*Sensitivity!$C$9</f>
        <v/>
      </c>
      <c r="DK18" s="31">
        <f>DK17*Assumptions!$H$58*Sensitivity!$C$9</f>
        <v/>
      </c>
      <c r="DL18" s="31">
        <f>DL17*Assumptions!$H$58*Sensitivity!$C$9</f>
        <v/>
      </c>
      <c r="DM18" s="31">
        <f>DM17*Assumptions!$H$58*Sensitivity!$C$9</f>
        <v/>
      </c>
      <c r="DN18" s="31">
        <f>DN17*Assumptions!$H$58*Sensitivity!$C$9</f>
        <v/>
      </c>
      <c r="DO18" s="31">
        <f>DO17*Assumptions!$H$58*Sensitivity!$C$9</f>
        <v/>
      </c>
      <c r="DP18" s="31">
        <f>DP17*Assumptions!$H$58*Sensitivity!$C$9</f>
        <v/>
      </c>
      <c r="DQ18" s="31">
        <f>DQ17*Assumptions!$H$58*Sensitivity!$C$9</f>
        <v/>
      </c>
      <c r="DR18" s="31">
        <f>DR17*Assumptions!$H$58*Sensitivity!$C$9</f>
        <v/>
      </c>
      <c r="DS18" s="31">
        <f>DS17*Assumptions!$H$58*Sensitivity!$C$9</f>
        <v/>
      </c>
    </row>
    <row r="19">
      <c r="A19" s="2" t="inlineStr">
        <is>
          <t>FD_CONSCOST</t>
        </is>
      </c>
      <c r="B19" s="6" t="inlineStr">
        <is>
          <t>Conservation cost</t>
        </is>
      </c>
      <c r="C19" s="2" t="inlineStr">
        <is>
          <t>RWF</t>
        </is>
      </c>
      <c r="D19" s="25">
        <f>D13*Assumptions!$H$57</f>
        <v/>
      </c>
      <c r="E19" s="25">
        <f>E13*Assumptions!$H$57</f>
        <v/>
      </c>
      <c r="F19" s="25">
        <f>F13*Assumptions!$H$57</f>
        <v/>
      </c>
      <c r="G19" s="25">
        <f>G13*Assumptions!$H$57</f>
        <v/>
      </c>
      <c r="H19" s="25">
        <f>H13*Assumptions!$H$57</f>
        <v/>
      </c>
      <c r="I19" s="25">
        <f>I13*Assumptions!$H$57</f>
        <v/>
      </c>
      <c r="J19" s="25">
        <f>J13*Assumptions!$H$57</f>
        <v/>
      </c>
      <c r="K19" s="25">
        <f>K13*Assumptions!$H$57</f>
        <v/>
      </c>
      <c r="L19" s="25">
        <f>L13*Assumptions!$H$57</f>
        <v/>
      </c>
      <c r="M19" s="25">
        <f>M13*Assumptions!$H$57</f>
        <v/>
      </c>
      <c r="N19" s="25">
        <f>N13*Assumptions!$H$57</f>
        <v/>
      </c>
      <c r="O19" s="25">
        <f>O13*Assumptions!$H$57</f>
        <v/>
      </c>
      <c r="P19" s="25">
        <f>P13*Assumptions!$H$57</f>
        <v/>
      </c>
      <c r="Q19" s="25">
        <f>Q13*Assumptions!$H$57</f>
        <v/>
      </c>
      <c r="R19" s="25">
        <f>R13*Assumptions!$H$57</f>
        <v/>
      </c>
      <c r="S19" s="25">
        <f>S13*Assumptions!$H$57</f>
        <v/>
      </c>
      <c r="T19" s="25">
        <f>T13*Assumptions!$H$57</f>
        <v/>
      </c>
      <c r="U19" s="25">
        <f>U13*Assumptions!$H$57</f>
        <v/>
      </c>
      <c r="V19" s="25">
        <f>V13*Assumptions!$H$57</f>
        <v/>
      </c>
      <c r="W19" s="25">
        <f>W13*Assumptions!$H$57</f>
        <v/>
      </c>
      <c r="X19" s="25">
        <f>X13*Assumptions!$H$57</f>
        <v/>
      </c>
      <c r="Y19" s="25">
        <f>Y13*Assumptions!$H$57</f>
        <v/>
      </c>
      <c r="Z19" s="25">
        <f>Z13*Assumptions!$H$57</f>
        <v/>
      </c>
      <c r="AA19" s="25">
        <f>AA13*Assumptions!$H$57</f>
        <v/>
      </c>
      <c r="AB19" s="25">
        <f>AB13*Assumptions!$H$57</f>
        <v/>
      </c>
      <c r="AC19" s="25">
        <f>AC13*Assumptions!$H$57</f>
        <v/>
      </c>
      <c r="AD19" s="25">
        <f>AD13*Assumptions!$H$57</f>
        <v/>
      </c>
      <c r="AE19" s="25">
        <f>AE13*Assumptions!$H$57</f>
        <v/>
      </c>
      <c r="AF19" s="25">
        <f>AF13*Assumptions!$H$57</f>
        <v/>
      </c>
      <c r="AG19" s="25">
        <f>AG13*Assumptions!$H$57</f>
        <v/>
      </c>
      <c r="AH19" s="25">
        <f>AH13*Assumptions!$H$57</f>
        <v/>
      </c>
      <c r="AI19" s="25">
        <f>AI13*Assumptions!$H$57</f>
        <v/>
      </c>
      <c r="AJ19" s="25">
        <f>AJ13*Assumptions!$H$57</f>
        <v/>
      </c>
      <c r="AK19" s="25">
        <f>AK13*Assumptions!$H$57</f>
        <v/>
      </c>
      <c r="AL19" s="25">
        <f>AL13*Assumptions!$H$57</f>
        <v/>
      </c>
      <c r="AM19" s="25">
        <f>AM13*Assumptions!$H$57</f>
        <v/>
      </c>
      <c r="AN19" s="25">
        <f>AN13*Assumptions!$H$57</f>
        <v/>
      </c>
      <c r="AO19" s="25">
        <f>AO13*Assumptions!$H$57</f>
        <v/>
      </c>
      <c r="AP19" s="25">
        <f>AP13*Assumptions!$H$57</f>
        <v/>
      </c>
      <c r="AQ19" s="25">
        <f>AQ13*Assumptions!$H$57</f>
        <v/>
      </c>
      <c r="AR19" s="25">
        <f>AR13*Assumptions!$H$57</f>
        <v/>
      </c>
      <c r="AS19" s="25">
        <f>AS13*Assumptions!$H$57</f>
        <v/>
      </c>
      <c r="AT19" s="25">
        <f>AT13*Assumptions!$H$57</f>
        <v/>
      </c>
      <c r="AU19" s="25">
        <f>AU13*Assumptions!$H$57</f>
        <v/>
      </c>
      <c r="AV19" s="25">
        <f>AV13*Assumptions!$H$57</f>
        <v/>
      </c>
      <c r="AW19" s="25">
        <f>AW13*Assumptions!$H$57</f>
        <v/>
      </c>
      <c r="AX19" s="25">
        <f>AX13*Assumptions!$H$57</f>
        <v/>
      </c>
      <c r="AY19" s="25">
        <f>AY13*Assumptions!$H$57</f>
        <v/>
      </c>
      <c r="AZ19" s="25">
        <f>AZ13*Assumptions!$H$57</f>
        <v/>
      </c>
      <c r="BA19" s="25">
        <f>BA13*Assumptions!$H$57</f>
        <v/>
      </c>
      <c r="BB19" s="25">
        <f>BB13*Assumptions!$H$57</f>
        <v/>
      </c>
      <c r="BC19" s="25">
        <f>BC13*Assumptions!$H$57</f>
        <v/>
      </c>
      <c r="BD19" s="25">
        <f>BD13*Assumptions!$H$57</f>
        <v/>
      </c>
      <c r="BE19" s="25">
        <f>BE13*Assumptions!$H$57</f>
        <v/>
      </c>
      <c r="BF19" s="25">
        <f>BF13*Assumptions!$H$57</f>
        <v/>
      </c>
      <c r="BG19" s="25">
        <f>BG13*Assumptions!$H$57</f>
        <v/>
      </c>
      <c r="BH19" s="25">
        <f>BH13*Assumptions!$H$57</f>
        <v/>
      </c>
      <c r="BI19" s="25">
        <f>BI13*Assumptions!$H$57</f>
        <v/>
      </c>
      <c r="BJ19" s="25">
        <f>BJ13*Assumptions!$H$57</f>
        <v/>
      </c>
      <c r="BK19" s="25">
        <f>BK13*Assumptions!$H$57</f>
        <v/>
      </c>
      <c r="BL19" s="25">
        <f>BL13*Assumptions!$H$57</f>
        <v/>
      </c>
      <c r="BM19" s="25">
        <f>BM13*Assumptions!$H$57</f>
        <v/>
      </c>
      <c r="BN19" s="25">
        <f>BN13*Assumptions!$H$57</f>
        <v/>
      </c>
      <c r="BO19" s="25">
        <f>BO13*Assumptions!$H$57</f>
        <v/>
      </c>
      <c r="BP19" s="25">
        <f>BP13*Assumptions!$H$57</f>
        <v/>
      </c>
      <c r="BQ19" s="25">
        <f>BQ13*Assumptions!$H$57</f>
        <v/>
      </c>
      <c r="BR19" s="25">
        <f>BR13*Assumptions!$H$57</f>
        <v/>
      </c>
      <c r="BS19" s="25">
        <f>BS13*Assumptions!$H$57</f>
        <v/>
      </c>
      <c r="BT19" s="25">
        <f>BT13*Assumptions!$H$57</f>
        <v/>
      </c>
      <c r="BU19" s="25">
        <f>BU13*Assumptions!$H$57</f>
        <v/>
      </c>
      <c r="BV19" s="25">
        <f>BV13*Assumptions!$H$57</f>
        <v/>
      </c>
      <c r="BW19" s="25">
        <f>BW13*Assumptions!$H$57</f>
        <v/>
      </c>
      <c r="BX19" s="25">
        <f>BX13*Assumptions!$H$57</f>
        <v/>
      </c>
      <c r="BY19" s="25">
        <f>BY13*Assumptions!$H$57</f>
        <v/>
      </c>
      <c r="BZ19" s="25">
        <f>BZ13*Assumptions!$H$57</f>
        <v/>
      </c>
      <c r="CA19" s="25">
        <f>CA13*Assumptions!$H$57</f>
        <v/>
      </c>
      <c r="CB19" s="25">
        <f>CB13*Assumptions!$H$57</f>
        <v/>
      </c>
      <c r="CC19" s="25">
        <f>CC13*Assumptions!$H$57</f>
        <v/>
      </c>
      <c r="CD19" s="25">
        <f>CD13*Assumptions!$H$57</f>
        <v/>
      </c>
      <c r="CE19" s="25">
        <f>CE13*Assumptions!$H$57</f>
        <v/>
      </c>
      <c r="CF19" s="25">
        <f>CF13*Assumptions!$H$57</f>
        <v/>
      </c>
      <c r="CG19" s="25">
        <f>CG13*Assumptions!$H$57</f>
        <v/>
      </c>
      <c r="CH19" s="25">
        <f>CH13*Assumptions!$H$57</f>
        <v/>
      </c>
      <c r="CI19" s="25">
        <f>CI13*Assumptions!$H$57</f>
        <v/>
      </c>
      <c r="CJ19" s="25">
        <f>CJ13*Assumptions!$H$57</f>
        <v/>
      </c>
      <c r="CK19" s="25">
        <f>CK13*Assumptions!$H$57</f>
        <v/>
      </c>
      <c r="CL19" s="25">
        <f>CL13*Assumptions!$H$57</f>
        <v/>
      </c>
      <c r="CM19" s="25">
        <f>CM13*Assumptions!$H$57</f>
        <v/>
      </c>
      <c r="CN19" s="25">
        <f>CN13*Assumptions!$H$57</f>
        <v/>
      </c>
      <c r="CO19" s="25">
        <f>CO13*Assumptions!$H$57</f>
        <v/>
      </c>
      <c r="CP19" s="25">
        <f>CP13*Assumptions!$H$57</f>
        <v/>
      </c>
      <c r="CQ19" s="25">
        <f>CQ13*Assumptions!$H$57</f>
        <v/>
      </c>
      <c r="CR19" s="25">
        <f>CR13*Assumptions!$H$57</f>
        <v/>
      </c>
      <c r="CS19" s="25">
        <f>CS13*Assumptions!$H$57</f>
        <v/>
      </c>
      <c r="CT19" s="25">
        <f>CT13*Assumptions!$H$57</f>
        <v/>
      </c>
      <c r="CU19" s="25">
        <f>CU13*Assumptions!$H$57</f>
        <v/>
      </c>
      <c r="CV19" s="25">
        <f>CV13*Assumptions!$H$57</f>
        <v/>
      </c>
      <c r="CW19" s="25">
        <f>CW13*Assumptions!$H$57</f>
        <v/>
      </c>
      <c r="CX19" s="25">
        <f>CX13*Assumptions!$H$57</f>
        <v/>
      </c>
      <c r="CY19" s="25">
        <f>CY13*Assumptions!$H$57</f>
        <v/>
      </c>
      <c r="CZ19" s="25">
        <f>CZ13*Assumptions!$H$57</f>
        <v/>
      </c>
      <c r="DA19" s="25">
        <f>DA13*Assumptions!$H$57</f>
        <v/>
      </c>
      <c r="DB19" s="25">
        <f>DB13*Assumptions!$H$57</f>
        <v/>
      </c>
      <c r="DC19" s="25">
        <f>DC13*Assumptions!$H$57</f>
        <v/>
      </c>
      <c r="DD19" s="25">
        <f>DD13*Assumptions!$H$57</f>
        <v/>
      </c>
      <c r="DE19" s="25">
        <f>DE13*Assumptions!$H$57</f>
        <v/>
      </c>
      <c r="DF19" s="25">
        <f>DF13*Assumptions!$H$57</f>
        <v/>
      </c>
      <c r="DG19" s="25">
        <f>DG13*Assumptions!$H$57</f>
        <v/>
      </c>
      <c r="DH19" s="25">
        <f>DH13*Assumptions!$H$57</f>
        <v/>
      </c>
      <c r="DI19" s="25">
        <f>DI13*Assumptions!$H$57</f>
        <v/>
      </c>
      <c r="DJ19" s="25">
        <f>DJ13*Assumptions!$H$57</f>
        <v/>
      </c>
      <c r="DK19" s="25">
        <f>DK13*Assumptions!$H$57</f>
        <v/>
      </c>
      <c r="DL19" s="25">
        <f>DL13*Assumptions!$H$57</f>
        <v/>
      </c>
      <c r="DM19" s="25">
        <f>DM13*Assumptions!$H$57</f>
        <v/>
      </c>
      <c r="DN19" s="25">
        <f>DN13*Assumptions!$H$57</f>
        <v/>
      </c>
      <c r="DO19" s="25">
        <f>DO13*Assumptions!$H$57</f>
        <v/>
      </c>
      <c r="DP19" s="25">
        <f>DP13*Assumptions!$H$57</f>
        <v/>
      </c>
      <c r="DQ19" s="25">
        <f>DQ13*Assumptions!$H$57</f>
        <v/>
      </c>
      <c r="DR19" s="25">
        <f>DR13*Assumptions!$H$57</f>
        <v/>
      </c>
      <c r="DS19" s="25">
        <f>DS13*Assumptions!$H$57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2" customWidth="1" min="2" max="2"/>
    <col width="16" customWidth="1" min="3" max="3"/>
    <col width="12" customWidth="1" min="4" max="4"/>
    <col width="11" customWidth="1" min="5" max="5"/>
    <col width="9" customWidth="1" min="6" max="6"/>
    <col width="15" customWidth="1" min="7" max="7"/>
    <col width="15" customWidth="1" min="8" max="8"/>
    <col width="10" customWidth="1" min="9" max="9"/>
    <col width="10" customWidth="1" min="10" max="10"/>
    <col width="8" customWidth="1" min="11" max="11"/>
    <col width="16" customWidth="1" min="12" max="12"/>
  </cols>
  <sheetData>
    <row r="1">
      <c r="A1" s="1" t="inlineStr">
        <is>
          <t>CapEx</t>
        </is>
      </c>
    </row>
    <row r="2">
      <c r="A2" s="2" t="inlineStr">
        <is>
          <t>Capital items for the selected model. Contingency is added on top. Animal purchases are on Livestock.</t>
        </is>
      </c>
    </row>
    <row r="4">
      <c r="A4" s="5" t="inlineStr">
        <is>
          <t>ID</t>
        </is>
      </c>
      <c r="B4" s="5" t="inlineStr">
        <is>
          <t>Item</t>
        </is>
      </c>
      <c r="C4" s="5" t="inlineStr">
        <is>
          <t>Category</t>
        </is>
      </c>
      <c r="D4" s="5" t="inlineStr">
        <is>
          <t>Essential / optional</t>
        </is>
      </c>
      <c r="E4" s="5" t="inlineStr">
        <is>
          <t>Quantity</t>
        </is>
      </c>
      <c r="F4" s="5" t="inlineStr">
        <is>
          <t>Unit</t>
        </is>
      </c>
      <c r="G4" s="5" t="inlineStr">
        <is>
          <t>Unit cost (RWF)</t>
        </is>
      </c>
      <c r="H4" s="5" t="inlineStr">
        <is>
          <t>Total (RWF)</t>
        </is>
      </c>
      <c r="I4" s="5" t="inlineStr">
        <is>
          <t>Month incurred</t>
        </is>
      </c>
      <c r="J4" s="5" t="inlineStr">
        <is>
          <t>Year incurred</t>
        </is>
      </c>
      <c r="K4" s="5" t="inlineStr">
        <is>
          <t>Life (yrs)</t>
        </is>
      </c>
      <c r="L4" s="5" t="inlineStr">
        <is>
          <t>Depreciation per yr (RWF)</t>
        </is>
      </c>
    </row>
    <row r="5">
      <c r="A5" s="2" t="inlineStr">
        <is>
          <t>CX01</t>
        </is>
      </c>
      <c r="B5" s="6" t="inlineStr">
        <is>
          <t>Soil tests</t>
        </is>
      </c>
      <c r="C5" s="2" t="inlineStr">
        <is>
          <t>Studies</t>
        </is>
      </c>
      <c r="D5" s="6" t="inlineStr">
        <is>
          <t>Essential</t>
        </is>
      </c>
      <c r="E5" s="24">
        <f>Models!$H$42</f>
        <v/>
      </c>
      <c r="F5" s="2" t="inlineStr">
        <is>
          <t>samples</t>
        </is>
      </c>
      <c r="G5" s="10">
        <f>Assumptions!$H$31</f>
        <v/>
      </c>
      <c r="H5" s="25">
        <f>E5*G5*Sensitivity!$C$11</f>
        <v/>
      </c>
      <c r="I5" s="28">
        <f>1</f>
        <v/>
      </c>
      <c r="J5" s="33">
        <f>INT((I5-1)/12)+1</f>
        <v/>
      </c>
      <c r="K5" s="23" t="n">
        <v>5</v>
      </c>
      <c r="L5" s="25">
        <f>IF(K5&gt;0,H5/K5,0)</f>
        <v/>
      </c>
    </row>
    <row r="6">
      <c r="A6" s="2" t="inlineStr">
        <is>
          <t>CX02</t>
        </is>
      </c>
      <c r="B6" s="6" t="inlineStr">
        <is>
          <t>Water tests</t>
        </is>
      </c>
      <c r="C6" s="2" t="inlineStr">
        <is>
          <t>Studies</t>
        </is>
      </c>
      <c r="D6" s="6" t="inlineStr">
        <is>
          <t>Essential</t>
        </is>
      </c>
      <c r="E6" s="24">
        <f>Models!$H$43</f>
        <v/>
      </c>
      <c r="F6" s="2" t="inlineStr">
        <is>
          <t>samples</t>
        </is>
      </c>
      <c r="G6" s="10">
        <f>Assumptions!$H$32</f>
        <v/>
      </c>
      <c r="H6" s="25">
        <f>E6*G6*Sensitivity!$C$11</f>
        <v/>
      </c>
      <c r="I6" s="28">
        <f>1</f>
        <v/>
      </c>
      <c r="J6" s="33">
        <f>INT((I6-1)/12)+1</f>
        <v/>
      </c>
      <c r="K6" s="23" t="n">
        <v>5</v>
      </c>
      <c r="L6" s="25">
        <f>IF(K6&gt;0,H6/K6,0)</f>
        <v/>
      </c>
    </row>
    <row r="7">
      <c r="A7" s="2" t="inlineStr">
        <is>
          <t>CX03</t>
        </is>
      </c>
      <c r="B7" s="6" t="inlineStr">
        <is>
          <t>Survey, title and legal checks</t>
        </is>
      </c>
      <c r="C7" s="2" t="inlineStr">
        <is>
          <t>Studies</t>
        </is>
      </c>
      <c r="D7" s="6" t="inlineStr">
        <is>
          <t>Essential</t>
        </is>
      </c>
      <c r="E7" s="22">
        <f>1</f>
        <v/>
      </c>
      <c r="F7" s="2" t="inlineStr">
        <is>
          <t>lump</t>
        </is>
      </c>
      <c r="G7" s="10">
        <f>Assumptions!$H$33</f>
        <v/>
      </c>
      <c r="H7" s="25">
        <f>E7*G7*Sensitivity!$C$11</f>
        <v/>
      </c>
      <c r="I7" s="28">
        <f>1</f>
        <v/>
      </c>
      <c r="J7" s="33">
        <f>INT((I7-1)/12)+1</f>
        <v/>
      </c>
      <c r="K7" s="23" t="n">
        <v>10</v>
      </c>
      <c r="L7" s="25">
        <f>IF(K7&gt;0,H7/K7,0)</f>
        <v/>
      </c>
    </row>
    <row r="8">
      <c r="A8" s="2" t="inlineStr">
        <is>
          <t>CX04</t>
        </is>
      </c>
      <c r="B8" s="6" t="inlineStr">
        <is>
          <t>Permits and compliance</t>
        </is>
      </c>
      <c r="C8" s="2" t="inlineStr">
        <is>
          <t>Studies</t>
        </is>
      </c>
      <c r="D8" s="6" t="inlineStr">
        <is>
          <t>Essential</t>
        </is>
      </c>
      <c r="E8" s="22">
        <f>1</f>
        <v/>
      </c>
      <c r="F8" s="2" t="inlineStr">
        <is>
          <t>lump</t>
        </is>
      </c>
      <c r="G8" s="10">
        <f>Assumptions!$H$34</f>
        <v/>
      </c>
      <c r="H8" s="25">
        <f>E8*G8*Sensitivity!$C$11</f>
        <v/>
      </c>
      <c r="I8" s="28">
        <f>2</f>
        <v/>
      </c>
      <c r="J8" s="33">
        <f>INT((I8-1)/12)+1</f>
        <v/>
      </c>
      <c r="K8" s="23" t="n">
        <v>10</v>
      </c>
      <c r="L8" s="25">
        <f>IF(K8&gt;0,H8/K8,0)</f>
        <v/>
      </c>
    </row>
    <row r="9">
      <c r="A9" s="2" t="inlineStr">
        <is>
          <t>CX05</t>
        </is>
      </c>
      <c r="B9" s="6" t="inlineStr">
        <is>
          <t>Professional set-up visits</t>
        </is>
      </c>
      <c r="C9" s="2" t="inlineStr">
        <is>
          <t>Studies</t>
        </is>
      </c>
      <c r="D9" s="6" t="inlineStr">
        <is>
          <t>Essential</t>
        </is>
      </c>
      <c r="E9" s="22">
        <f>1</f>
        <v/>
      </c>
      <c r="F9" s="2" t="inlineStr">
        <is>
          <t>lump</t>
        </is>
      </c>
      <c r="G9" s="10">
        <f>Assumptions!$H$35</f>
        <v/>
      </c>
      <c r="H9" s="25">
        <f>E9*G9*Sensitivity!$C$11</f>
        <v/>
      </c>
      <c r="I9" s="28">
        <f>2</f>
        <v/>
      </c>
      <c r="J9" s="33">
        <f>INT((I9-1)/12)+1</f>
        <v/>
      </c>
      <c r="K9" s="23" t="n">
        <v>5</v>
      </c>
      <c r="L9" s="25">
        <f>IF(K9&gt;0,H9/K9,0)</f>
        <v/>
      </c>
    </row>
    <row r="10">
      <c r="A10" s="2" t="inlineStr">
        <is>
          <t>CX06</t>
        </is>
      </c>
      <c r="B10" s="6" t="inlineStr">
        <is>
          <t>Perimeter fence</t>
        </is>
      </c>
      <c r="C10" s="2" t="inlineStr">
        <is>
          <t>Fencing</t>
        </is>
      </c>
      <c r="D10" s="6" t="inlineStr">
        <is>
          <t>Essential</t>
        </is>
      </c>
      <c r="E10" s="24">
        <f>Land!$C$6</f>
        <v/>
      </c>
      <c r="F10" s="2" t="inlineStr">
        <is>
          <t>m</t>
        </is>
      </c>
      <c r="G10" s="10">
        <f>Assumptions!$H$18</f>
        <v/>
      </c>
      <c r="H10" s="25">
        <f>E10*G10*Sensitivity!$C$11</f>
        <v/>
      </c>
      <c r="I10" s="28">
        <f>3</f>
        <v/>
      </c>
      <c r="J10" s="33">
        <f>INT((I10-1)/12)+1</f>
        <v/>
      </c>
      <c r="K10" s="23" t="n">
        <v>10</v>
      </c>
      <c r="L10" s="25">
        <f>IF(K10&gt;0,H10/K10,0)</f>
        <v/>
      </c>
    </row>
    <row r="11">
      <c r="A11" s="2" t="inlineStr">
        <is>
          <t>CX07</t>
        </is>
      </c>
      <c r="B11" s="6" t="inlineStr">
        <is>
          <t>Internal paddock fence</t>
        </is>
      </c>
      <c r="C11" s="2" t="inlineStr">
        <is>
          <t>Fencing</t>
        </is>
      </c>
      <c r="D11" s="6" t="inlineStr">
        <is>
          <t>Essential</t>
        </is>
      </c>
      <c r="E11" s="22">
        <f>Land!$C$9*Models!$H$44</f>
        <v/>
      </c>
      <c r="F11" s="2" t="inlineStr">
        <is>
          <t>m</t>
        </is>
      </c>
      <c r="G11" s="10">
        <f>Assumptions!$H$19</f>
        <v/>
      </c>
      <c r="H11" s="25">
        <f>E11*G11*Sensitivity!$C$11</f>
        <v/>
      </c>
      <c r="I11" s="28">
        <f>MAX(1,Models!$H$21-2)</f>
        <v/>
      </c>
      <c r="J11" s="33">
        <f>INT((I11-1)/12)+1</f>
        <v/>
      </c>
      <c r="K11" s="23" t="n">
        <v>8</v>
      </c>
      <c r="L11" s="25">
        <f>IF(K11&gt;0,H11/K11,0)</f>
        <v/>
      </c>
    </row>
    <row r="12">
      <c r="A12" s="2" t="inlineStr">
        <is>
          <t>CX08</t>
        </is>
      </c>
      <c r="B12" s="6" t="inlineStr">
        <is>
          <t>Gates</t>
        </is>
      </c>
      <c r="C12" s="2" t="inlineStr">
        <is>
          <t>Fencing</t>
        </is>
      </c>
      <c r="D12" s="6" t="inlineStr">
        <is>
          <t>Essential</t>
        </is>
      </c>
      <c r="E12" s="24">
        <f>Models!$H$45</f>
        <v/>
      </c>
      <c r="F12" s="2" t="inlineStr">
        <is>
          <t>count</t>
        </is>
      </c>
      <c r="G12" s="10">
        <f>Assumptions!$H$20</f>
        <v/>
      </c>
      <c r="H12" s="25">
        <f>E12*G12*Sensitivity!$C$11</f>
        <v/>
      </c>
      <c r="I12" s="28">
        <f>3</f>
        <v/>
      </c>
      <c r="J12" s="33">
        <f>INT((I12-1)/12)+1</f>
        <v/>
      </c>
      <c r="K12" s="23" t="n">
        <v>10</v>
      </c>
      <c r="L12" s="25">
        <f>IF(K12&gt;0,H12/K12,0)</f>
        <v/>
      </c>
    </row>
    <row r="13">
      <c r="A13" s="2" t="inlineStr">
        <is>
          <t>CX09</t>
        </is>
      </c>
      <c r="B13" s="6" t="inlineStr">
        <is>
          <t>Water storage</t>
        </is>
      </c>
      <c r="C13" s="2" t="inlineStr">
        <is>
          <t>Water</t>
        </is>
      </c>
      <c r="D13" s="6" t="inlineStr">
        <is>
          <t>Essential</t>
        </is>
      </c>
      <c r="E13" s="24">
        <f>Models!$H$46</f>
        <v/>
      </c>
      <c r="F13" s="2" t="inlineStr">
        <is>
          <t>m3</t>
        </is>
      </c>
      <c r="G13" s="10">
        <f>Assumptions!$H$21</f>
        <v/>
      </c>
      <c r="H13" s="25">
        <f>E13*G13*Sensitivity!$C$11</f>
        <v/>
      </c>
      <c r="I13" s="28">
        <f>3</f>
        <v/>
      </c>
      <c r="J13" s="33">
        <f>INT((I13-1)/12)+1</f>
        <v/>
      </c>
      <c r="K13" s="23" t="n">
        <v>15</v>
      </c>
      <c r="L13" s="25">
        <f>IF(K13&gt;0,H13/K13,0)</f>
        <v/>
      </c>
    </row>
    <row r="14">
      <c r="A14" s="2" t="inlineStr">
        <is>
          <t>CX10</t>
        </is>
      </c>
      <c r="B14" s="6" t="inlineStr">
        <is>
          <t>Rainwater harvesting fittings</t>
        </is>
      </c>
      <c r="C14" s="2" t="inlineStr">
        <is>
          <t>Water</t>
        </is>
      </c>
      <c r="D14" s="6" t="inlineStr">
        <is>
          <t>Essential</t>
        </is>
      </c>
      <c r="E14" s="22">
        <f>1</f>
        <v/>
      </c>
      <c r="F14" s="2" t="inlineStr">
        <is>
          <t>lump</t>
        </is>
      </c>
      <c r="G14" s="10">
        <f>Assumptions!$H$22</f>
        <v/>
      </c>
      <c r="H14" s="25">
        <f>E14*G14*Sensitivity!$C$11</f>
        <v/>
      </c>
      <c r="I14" s="28">
        <f>3</f>
        <v/>
      </c>
      <c r="J14" s="33">
        <f>INT((I14-1)/12)+1</f>
        <v/>
      </c>
      <c r="K14" s="23" t="n">
        <v>10</v>
      </c>
      <c r="L14" s="25">
        <f>IF(K14&gt;0,H14/K14,0)</f>
        <v/>
      </c>
    </row>
    <row r="15">
      <c r="A15" s="2" t="inlineStr">
        <is>
          <t>CX11</t>
        </is>
      </c>
      <c r="B15" s="6" t="inlineStr">
        <is>
          <t>Borehole</t>
        </is>
      </c>
      <c r="C15" s="2" t="inlineStr">
        <is>
          <t>Water</t>
        </is>
      </c>
      <c r="D15" s="6" t="inlineStr">
        <is>
          <t>Optional</t>
        </is>
      </c>
      <c r="E15" s="24">
        <f>Models!$H$47</f>
        <v/>
      </c>
      <c r="F15" s="2" t="inlineStr">
        <is>
          <t>flag</t>
        </is>
      </c>
      <c r="G15" s="10">
        <f>Assumptions!$H$23</f>
        <v/>
      </c>
      <c r="H15" s="25">
        <f>E15*G15*Sensitivity!$C$11</f>
        <v/>
      </c>
      <c r="I15" s="28">
        <f>4</f>
        <v/>
      </c>
      <c r="J15" s="33">
        <f>INT((I15-1)/12)+1</f>
        <v/>
      </c>
      <c r="K15" s="23" t="n">
        <v>20</v>
      </c>
      <c r="L15" s="25">
        <f>IF(K15&gt;0,H15/K15,0)</f>
        <v/>
      </c>
    </row>
    <row r="16">
      <c r="A16" s="2" t="inlineStr">
        <is>
          <t>CX12</t>
        </is>
      </c>
      <c r="B16" s="6" t="inlineStr">
        <is>
          <t>Solar pump system</t>
        </is>
      </c>
      <c r="C16" s="2" t="inlineStr">
        <is>
          <t>Water</t>
        </is>
      </c>
      <c r="D16" s="6" t="inlineStr">
        <is>
          <t>Optional</t>
        </is>
      </c>
      <c r="E16" s="24">
        <f>Models!$H$48</f>
        <v/>
      </c>
      <c r="F16" s="2" t="inlineStr">
        <is>
          <t>flag</t>
        </is>
      </c>
      <c r="G16" s="10">
        <f>Assumptions!$H$24</f>
        <v/>
      </c>
      <c r="H16" s="25">
        <f>E16*G16*Sensitivity!$C$11</f>
        <v/>
      </c>
      <c r="I16" s="28">
        <f>4</f>
        <v/>
      </c>
      <c r="J16" s="33">
        <f>INT((I16-1)/12)+1</f>
        <v/>
      </c>
      <c r="K16" s="23" t="n">
        <v>10</v>
      </c>
      <c r="L16" s="25">
        <f>IF(K16&gt;0,H16/K16,0)</f>
        <v/>
      </c>
    </row>
    <row r="17">
      <c r="A17" s="2" t="inlineStr">
        <is>
          <t>CX13</t>
        </is>
      </c>
      <c r="B17" s="6" t="inlineStr">
        <is>
          <t>Drip irrigation on the orchard</t>
        </is>
      </c>
      <c r="C17" s="2" t="inlineStr">
        <is>
          <t>Water</t>
        </is>
      </c>
      <c r="D17" s="6" t="inlineStr">
        <is>
          <t>Optional</t>
        </is>
      </c>
      <c r="E17" s="22">
        <f>Land!$C$8*Models!$H$49</f>
        <v/>
      </c>
      <c r="F17" s="2" t="inlineStr">
        <is>
          <t>ha</t>
        </is>
      </c>
      <c r="G17" s="10">
        <f>Assumptions!$H$25</f>
        <v/>
      </c>
      <c r="H17" s="25">
        <f>E17*G17*Sensitivity!$C$11</f>
        <v/>
      </c>
      <c r="I17" s="28">
        <f>MAX(1,Control!$C$11-1)</f>
        <v/>
      </c>
      <c r="J17" s="33">
        <f>INT((I17-1)/12)+1</f>
        <v/>
      </c>
      <c r="K17" s="23" t="n">
        <v>8</v>
      </c>
      <c r="L17" s="25">
        <f>IF(K17&gt;0,H17/K17,0)</f>
        <v/>
      </c>
    </row>
    <row r="18">
      <c r="A18" s="2" t="inlineStr">
        <is>
          <t>CX14</t>
        </is>
      </c>
      <c r="B18" s="6" t="inlineStr">
        <is>
          <t>Orchard establishment (plants and planting)</t>
        </is>
      </c>
      <c r="C18" s="2" t="inlineStr">
        <is>
          <t>Orchard</t>
        </is>
      </c>
      <c r="D18" s="6" t="inlineStr">
        <is>
          <t>Essential</t>
        </is>
      </c>
      <c r="E18" s="22">
        <f>1</f>
        <v/>
      </c>
      <c r="F18" s="2" t="inlineStr">
        <is>
          <t>lump</t>
        </is>
      </c>
      <c r="G18" s="10">
        <f>Trees!$C$97</f>
        <v/>
      </c>
      <c r="H18" s="25">
        <f>E18*G18</f>
        <v/>
      </c>
      <c r="I18" s="36">
        <f>Control!$C$11</f>
        <v/>
      </c>
      <c r="J18" s="33">
        <f>INT((I18-1)/12)+1</f>
        <v/>
      </c>
      <c r="K18" s="23" t="n">
        <v>20</v>
      </c>
      <c r="L18" s="25">
        <f>IF(K18&gt;0,H18/K18,0)</f>
        <v/>
      </c>
    </row>
    <row r="19">
      <c r="A19" s="2" t="inlineStr">
        <is>
          <t>CX15</t>
        </is>
      </c>
      <c r="B19" s="6" t="inlineStr">
        <is>
          <t>Orchard gap filling</t>
        </is>
      </c>
      <c r="C19" s="2" t="inlineStr">
        <is>
          <t>Orchard</t>
        </is>
      </c>
      <c r="D19" s="6" t="inlineStr">
        <is>
          <t>Essential</t>
        </is>
      </c>
      <c r="E19" s="22">
        <f>1</f>
        <v/>
      </c>
      <c r="F19" s="2" t="inlineStr">
        <is>
          <t>lump</t>
        </is>
      </c>
      <c r="G19" s="10">
        <f>Trees!$C$98</f>
        <v/>
      </c>
      <c r="H19" s="25">
        <f>E19*G19</f>
        <v/>
      </c>
      <c r="I19" s="36">
        <f>Control!$C$11+12</f>
        <v/>
      </c>
      <c r="J19" s="33">
        <f>INT((I19-1)/12)+1</f>
        <v/>
      </c>
      <c r="K19" s="23" t="n">
        <v>20</v>
      </c>
      <c r="L19" s="25">
        <f>IF(K19&gt;0,H19/K19,0)</f>
        <v/>
      </c>
    </row>
    <row r="20">
      <c r="A20" s="2" t="inlineStr">
        <is>
          <t>CX16</t>
        </is>
      </c>
      <c r="B20" s="6" t="inlineStr">
        <is>
          <t>Boundary trees</t>
        </is>
      </c>
      <c r="C20" s="2" t="inlineStr">
        <is>
          <t>Orchard</t>
        </is>
      </c>
      <c r="D20" s="6" t="inlineStr">
        <is>
          <t>Essential</t>
        </is>
      </c>
      <c r="E20" s="22">
        <f>1</f>
        <v/>
      </c>
      <c r="F20" s="2" t="inlineStr">
        <is>
          <t>lump</t>
        </is>
      </c>
      <c r="G20" s="10">
        <f>Trees!$C$92</f>
        <v/>
      </c>
      <c r="H20" s="25">
        <f>E20*G20</f>
        <v/>
      </c>
      <c r="I20" s="36">
        <f>Control!$C$11</f>
        <v/>
      </c>
      <c r="J20" s="33">
        <f>INT((I20-1)/12)+1</f>
        <v/>
      </c>
      <c r="K20" s="23" t="n">
        <v>20</v>
      </c>
      <c r="L20" s="25">
        <f>IF(K20&gt;0,H20/K20,0)</f>
        <v/>
      </c>
    </row>
    <row r="21">
      <c r="A21" s="2" t="inlineStr">
        <is>
          <t>CX17</t>
        </is>
      </c>
      <c r="B21" s="6" t="inlineStr">
        <is>
          <t>Pasture establishment</t>
        </is>
      </c>
      <c r="C21" s="2" t="inlineStr">
        <is>
          <t>Feed</t>
        </is>
      </c>
      <c r="D21" s="6" t="inlineStr">
        <is>
          <t>Essential</t>
        </is>
      </c>
      <c r="E21" s="24">
        <f>Land!$C$12</f>
        <v/>
      </c>
      <c r="F21" s="2" t="inlineStr">
        <is>
          <t>ha</t>
        </is>
      </c>
      <c r="G21" s="10">
        <f>Assumptions!$H$26</f>
        <v/>
      </c>
      <c r="H21" s="25">
        <f>E21*G21*Sensitivity!$C$11</f>
        <v/>
      </c>
      <c r="I21" s="36">
        <f>Control!$C$12</f>
        <v/>
      </c>
      <c r="J21" s="33">
        <f>INT((I21-1)/12)+1</f>
        <v/>
      </c>
      <c r="K21" s="23" t="n">
        <v>5</v>
      </c>
      <c r="L21" s="25">
        <f>IF(K21&gt;0,H21/K21,0)</f>
        <v/>
      </c>
    </row>
    <row r="22">
      <c r="A22" s="2" t="inlineStr">
        <is>
          <t>CX18</t>
        </is>
      </c>
      <c r="B22" s="6" t="inlineStr">
        <is>
          <t>Fodder bank establishment</t>
        </is>
      </c>
      <c r="C22" s="2" t="inlineStr">
        <is>
          <t>Feed</t>
        </is>
      </c>
      <c r="D22" s="6" t="inlineStr">
        <is>
          <t>Essential</t>
        </is>
      </c>
      <c r="E22" s="24">
        <f>Land!$C$13</f>
        <v/>
      </c>
      <c r="F22" s="2" t="inlineStr">
        <is>
          <t>ha</t>
        </is>
      </c>
      <c r="G22" s="10">
        <f>Assumptions!$H$27</f>
        <v/>
      </c>
      <c r="H22" s="25">
        <f>E22*G22*Sensitivity!$C$11</f>
        <v/>
      </c>
      <c r="I22" s="36">
        <f>Control!$C$12</f>
        <v/>
      </c>
      <c r="J22" s="33">
        <f>INT((I22-1)/12)+1</f>
        <v/>
      </c>
      <c r="K22" s="23" t="n">
        <v>5</v>
      </c>
      <c r="L22" s="25">
        <f>IF(K22&gt;0,H22/K22,0)</f>
        <v/>
      </c>
    </row>
    <row r="23">
      <c r="A23" s="2" t="inlineStr">
        <is>
          <t>CX19</t>
        </is>
      </c>
      <c r="B23" s="6" t="inlineStr">
        <is>
          <t>Animal house</t>
        </is>
      </c>
      <c r="C23" s="2" t="inlineStr">
        <is>
          <t>Livestock</t>
        </is>
      </c>
      <c r="D23" s="6" t="inlineStr">
        <is>
          <t>Essential</t>
        </is>
      </c>
      <c r="E23" s="22">
        <f>(Models!$H$27+Models!$H$34)*1.1*Assumptions!$H$29</f>
        <v/>
      </c>
      <c r="F23" s="2" t="inlineStr">
        <is>
          <t>m2</t>
        </is>
      </c>
      <c r="G23" s="10">
        <f>Assumptions!$H$28</f>
        <v/>
      </c>
      <c r="H23" s="25">
        <f>E23*G23*Sensitivity!$C$11</f>
        <v/>
      </c>
      <c r="I23" s="28">
        <f>MAX(1,Models!$H$21-1)</f>
        <v/>
      </c>
      <c r="J23" s="33">
        <f>INT((I23-1)/12)+1</f>
        <v/>
      </c>
      <c r="K23" s="23" t="n">
        <v>15</v>
      </c>
      <c r="L23" s="25">
        <f>IF(K23&gt;0,H23/K23,0)</f>
        <v/>
      </c>
    </row>
    <row r="24">
      <c r="A24" s="2" t="inlineStr">
        <is>
          <t>CX20</t>
        </is>
      </c>
      <c r="B24" s="6" t="inlineStr">
        <is>
          <t>Quarantine pen and handling race</t>
        </is>
      </c>
      <c r="C24" s="2" t="inlineStr">
        <is>
          <t>Livestock</t>
        </is>
      </c>
      <c r="D24" s="6" t="inlineStr">
        <is>
          <t>Essential</t>
        </is>
      </c>
      <c r="E24" s="22">
        <f>1</f>
        <v/>
      </c>
      <c r="F24" s="2" t="inlineStr">
        <is>
          <t>lump</t>
        </is>
      </c>
      <c r="G24" s="10">
        <f>Assumptions!$H$30</f>
        <v/>
      </c>
      <c r="H24" s="25">
        <f>E24*G24*Sensitivity!$C$11</f>
        <v/>
      </c>
      <c r="I24" s="28">
        <f>MAX(1,Models!$H$21-1)</f>
        <v/>
      </c>
      <c r="J24" s="33">
        <f>INT((I24-1)/12)+1</f>
        <v/>
      </c>
      <c r="K24" s="23" t="n">
        <v>10</v>
      </c>
      <c r="L24" s="25">
        <f>IF(K24&gt;0,H24/K24,0)</f>
        <v/>
      </c>
    </row>
    <row r="25">
      <c r="A25" s="2" t="inlineStr">
        <is>
          <t>CX21</t>
        </is>
      </c>
      <c r="B25" s="6" t="inlineStr">
        <is>
          <t>Feed store</t>
        </is>
      </c>
      <c r="C25" s="2" t="inlineStr">
        <is>
          <t>Livestock</t>
        </is>
      </c>
      <c r="D25" s="6" t="inlineStr">
        <is>
          <t>Essential</t>
        </is>
      </c>
      <c r="E25" s="22">
        <f>1</f>
        <v/>
      </c>
      <c r="F25" s="2" t="inlineStr">
        <is>
          <t>lump</t>
        </is>
      </c>
      <c r="G25" s="10">
        <f>Models!$H$57</f>
        <v/>
      </c>
      <c r="H25" s="25">
        <f>E25*G25*Sensitivity!$C$11</f>
        <v/>
      </c>
      <c r="I25" s="28">
        <f>MAX(1,Models!$H$21-1)</f>
        <v/>
      </c>
      <c r="J25" s="33">
        <f>INT((I25-1)/12)+1</f>
        <v/>
      </c>
      <c r="K25" s="23" t="n">
        <v>15</v>
      </c>
      <c r="L25" s="25">
        <f>IF(K25&gt;0,H25/K25,0)</f>
        <v/>
      </c>
    </row>
    <row r="26">
      <c r="A26" s="2" t="inlineStr">
        <is>
          <t>CX22</t>
        </is>
      </c>
      <c r="B26" s="6" t="inlineStr">
        <is>
          <t>Livestock weighing scale</t>
        </is>
      </c>
      <c r="C26" s="2" t="inlineStr">
        <is>
          <t>Livestock</t>
        </is>
      </c>
      <c r="D26" s="6" t="inlineStr">
        <is>
          <t>Essential</t>
        </is>
      </c>
      <c r="E26" s="22">
        <f>1</f>
        <v/>
      </c>
      <c r="F26" s="2" t="inlineStr">
        <is>
          <t>lump</t>
        </is>
      </c>
      <c r="G26" s="10">
        <f>Assumptions!$H$37</f>
        <v/>
      </c>
      <c r="H26" s="25">
        <f>E26*G26*Sensitivity!$C$11</f>
        <v/>
      </c>
      <c r="I26" s="36">
        <f>Models!$H$21</f>
        <v/>
      </c>
      <c r="J26" s="33">
        <f>INT((I26-1)/12)+1</f>
        <v/>
      </c>
      <c r="K26" s="23" t="n">
        <v>8</v>
      </c>
      <c r="L26" s="25">
        <f>IF(K26&gt;0,H26/K26,0)</f>
        <v/>
      </c>
    </row>
    <row r="27">
      <c r="A27" s="2" t="inlineStr">
        <is>
          <t>CX23</t>
        </is>
      </c>
      <c r="B27" s="6" t="inlineStr">
        <is>
          <t>Tools and small equipment</t>
        </is>
      </c>
      <c r="C27" s="2" t="inlineStr">
        <is>
          <t>Equipment</t>
        </is>
      </c>
      <c r="D27" s="6" t="inlineStr">
        <is>
          <t>Essential</t>
        </is>
      </c>
      <c r="E27" s="22">
        <f>1</f>
        <v/>
      </c>
      <c r="F27" s="2" t="inlineStr">
        <is>
          <t>lump</t>
        </is>
      </c>
      <c r="G27" s="10">
        <f>Models!$H$58</f>
        <v/>
      </c>
      <c r="H27" s="25">
        <f>E27*G27*Sensitivity!$C$11</f>
        <v/>
      </c>
      <c r="I27" s="28">
        <f>2</f>
        <v/>
      </c>
      <c r="J27" s="33">
        <f>INT((I27-1)/12)+1</f>
        <v/>
      </c>
      <c r="K27" s="23" t="n">
        <v>5</v>
      </c>
      <c r="L27" s="25">
        <f>IF(K27&gt;0,H27/K27,0)</f>
        <v/>
      </c>
    </row>
    <row r="28">
      <c r="A28" s="2" t="inlineStr">
        <is>
          <t>CX24</t>
        </is>
      </c>
      <c r="B28" s="6" t="inlineStr">
        <is>
          <t>Solar PV with battery</t>
        </is>
      </c>
      <c r="C28" s="2" t="inlineStr">
        <is>
          <t>Energy and tech</t>
        </is>
      </c>
      <c r="D28" s="6" t="inlineStr">
        <is>
          <t>Essential</t>
        </is>
      </c>
      <c r="E28" s="24">
        <f>Models!$H$50</f>
        <v/>
      </c>
      <c r="F28" s="2" t="inlineStr">
        <is>
          <t>kWp</t>
        </is>
      </c>
      <c r="G28" s="10">
        <f>Assumptions!$H$36</f>
        <v/>
      </c>
      <c r="H28" s="25">
        <f>E28*G28*Sensitivity!$C$11</f>
        <v/>
      </c>
      <c r="I28" s="28">
        <f>3</f>
        <v/>
      </c>
      <c r="J28" s="33">
        <f>INT((I28-1)/12)+1</f>
        <v/>
      </c>
      <c r="K28" s="23" t="n">
        <v>10</v>
      </c>
      <c r="L28" s="25">
        <f>IF(K28&gt;0,H28/K28,0)</f>
        <v/>
      </c>
    </row>
    <row r="29">
      <c r="A29" s="2" t="inlineStr">
        <is>
          <t>CX25</t>
        </is>
      </c>
      <c r="B29" s="6" t="inlineStr">
        <is>
          <t>Connectivity</t>
        </is>
      </c>
      <c r="C29" s="2" t="inlineStr">
        <is>
          <t>Energy and tech</t>
        </is>
      </c>
      <c r="D29" s="6" t="inlineStr">
        <is>
          <t>Essential</t>
        </is>
      </c>
      <c r="E29" s="22">
        <f>1</f>
        <v/>
      </c>
      <c r="F29" s="2" t="inlineStr">
        <is>
          <t>lump</t>
        </is>
      </c>
      <c r="G29" s="10">
        <f>Models!$H$52</f>
        <v/>
      </c>
      <c r="H29" s="25">
        <f>E29*G29*Sensitivity!$C$11</f>
        <v/>
      </c>
      <c r="I29" s="28">
        <f>3</f>
        <v/>
      </c>
      <c r="J29" s="33">
        <f>INT((I29-1)/12)+1</f>
        <v/>
      </c>
      <c r="K29" s="23" t="n">
        <v>5</v>
      </c>
      <c r="L29" s="25">
        <f>IF(K29&gt;0,H29/K29,0)</f>
        <v/>
      </c>
    </row>
    <row r="30">
      <c r="A30" s="2" t="inlineStr">
        <is>
          <t>CX26</t>
        </is>
      </c>
      <c r="B30" s="6" t="inlineStr">
        <is>
          <t>Sensors and controllers</t>
        </is>
      </c>
      <c r="C30" s="2" t="inlineStr">
        <is>
          <t>Energy and tech</t>
        </is>
      </c>
      <c r="D30" s="6" t="inlineStr">
        <is>
          <t>Optional</t>
        </is>
      </c>
      <c r="E30" s="22">
        <f>1</f>
        <v/>
      </c>
      <c r="F30" s="2" t="inlineStr">
        <is>
          <t>lump</t>
        </is>
      </c>
      <c r="G30" s="10">
        <f>Models!$H$51</f>
        <v/>
      </c>
      <c r="H30" s="25">
        <f>E30*G30*Sensitivity!$C$11</f>
        <v/>
      </c>
      <c r="I30" s="28">
        <f>6</f>
        <v/>
      </c>
      <c r="J30" s="33">
        <f>INT((I30-1)/12)+1</f>
        <v/>
      </c>
      <c r="K30" s="23" t="n">
        <v>5</v>
      </c>
      <c r="L30" s="25">
        <f>IF(K30&gt;0,H30/K30,0)</f>
        <v/>
      </c>
    </row>
    <row r="31">
      <c r="A31" s="2" t="inlineStr">
        <is>
          <t>CX27</t>
        </is>
      </c>
      <c r="B31" s="6" t="inlineStr">
        <is>
          <t>Software and devices</t>
        </is>
      </c>
      <c r="C31" s="2" t="inlineStr">
        <is>
          <t>Energy and tech</t>
        </is>
      </c>
      <c r="D31" s="6" t="inlineStr">
        <is>
          <t>Optional</t>
        </is>
      </c>
      <c r="E31" s="22">
        <f>1</f>
        <v/>
      </c>
      <c r="F31" s="2" t="inlineStr">
        <is>
          <t>lump</t>
        </is>
      </c>
      <c r="G31" s="10">
        <f>Models!$H$53</f>
        <v/>
      </c>
      <c r="H31" s="25">
        <f>E31*G31*Sensitivity!$C$11</f>
        <v/>
      </c>
      <c r="I31" s="28">
        <f>6</f>
        <v/>
      </c>
      <c r="J31" s="33">
        <f>INT((I31-1)/12)+1</f>
        <v/>
      </c>
      <c r="K31" s="23" t="n">
        <v>3</v>
      </c>
      <c r="L31" s="25">
        <f>IF(K31&gt;0,H31/K31,0)</f>
        <v/>
      </c>
    </row>
    <row r="32">
      <c r="A32" s="2" t="inlineStr">
        <is>
          <t>CX28</t>
        </is>
      </c>
      <c r="B32" s="6" t="inlineStr">
        <is>
          <t>Security (lights, cameras)</t>
        </is>
      </c>
      <c r="C32" s="2" t="inlineStr">
        <is>
          <t>Energy and tech</t>
        </is>
      </c>
      <c r="D32" s="6" t="inlineStr">
        <is>
          <t>Essential</t>
        </is>
      </c>
      <c r="E32" s="22">
        <f>1</f>
        <v/>
      </c>
      <c r="F32" s="2" t="inlineStr">
        <is>
          <t>lump</t>
        </is>
      </c>
      <c r="G32" s="10">
        <f>Models!$H$54</f>
        <v/>
      </c>
      <c r="H32" s="25">
        <f>E32*G32*Sensitivity!$C$11</f>
        <v/>
      </c>
      <c r="I32" s="28">
        <f>3</f>
        <v/>
      </c>
      <c r="J32" s="33">
        <f>INT((I32-1)/12)+1</f>
        <v/>
      </c>
      <c r="K32" s="23" t="n">
        <v>7</v>
      </c>
      <c r="L32" s="25">
        <f>IF(K32&gt;0,H32/K32,0)</f>
        <v/>
      </c>
    </row>
    <row r="33">
      <c r="A33" s="2" t="inlineStr">
        <is>
          <t>CX29</t>
        </is>
      </c>
      <c r="B33" s="6" t="inlineStr">
        <is>
          <t>Nursery</t>
        </is>
      </c>
      <c r="C33" s="2" t="inlineStr">
        <is>
          <t>Orchard</t>
        </is>
      </c>
      <c r="D33" s="6" t="inlineStr">
        <is>
          <t>Optional</t>
        </is>
      </c>
      <c r="E33" s="22">
        <f>1</f>
        <v/>
      </c>
      <c r="F33" s="2" t="inlineStr">
        <is>
          <t>lump</t>
        </is>
      </c>
      <c r="G33" s="10">
        <f>Models!$H$55</f>
        <v/>
      </c>
      <c r="H33" s="25">
        <f>E33*G33*Sensitivity!$C$11</f>
        <v/>
      </c>
      <c r="I33" s="28">
        <f>2</f>
        <v/>
      </c>
      <c r="J33" s="33">
        <f>INT((I33-1)/12)+1</f>
        <v/>
      </c>
      <c r="K33" s="23" t="n">
        <v>5</v>
      </c>
      <c r="L33" s="25">
        <f>IF(K33&gt;0,H33/K33,0)</f>
        <v/>
      </c>
    </row>
    <row r="34">
      <c r="A34" s="2" t="inlineStr">
        <is>
          <t>CX30</t>
        </is>
      </c>
      <c r="B34" s="6" t="inlineStr">
        <is>
          <t>Cool store / packhouse</t>
        </is>
      </c>
      <c r="C34" s="2" t="inlineStr">
        <is>
          <t>Post-harvest</t>
        </is>
      </c>
      <c r="D34" s="6" t="inlineStr">
        <is>
          <t>Optional</t>
        </is>
      </c>
      <c r="E34" s="22">
        <f>1</f>
        <v/>
      </c>
      <c r="F34" s="2" t="inlineStr">
        <is>
          <t>lump</t>
        </is>
      </c>
      <c r="G34" s="10">
        <f>Models!$H$56</f>
        <v/>
      </c>
      <c r="H34" s="25">
        <f>E34*G34*Sensitivity!$C$11</f>
        <v/>
      </c>
      <c r="I34" s="28">
        <f>24</f>
        <v/>
      </c>
      <c r="J34" s="33">
        <f>INT((I34-1)/12)+1</f>
        <v/>
      </c>
      <c r="K34" s="23" t="n">
        <v>15</v>
      </c>
      <c r="L34" s="25">
        <f>IF(K34&gt;0,H34/K34,0)</f>
        <v/>
      </c>
    </row>
    <row r="36">
      <c r="A36" s="2" t="inlineStr">
        <is>
          <t>CX_ESS</t>
        </is>
      </c>
      <c r="B36" s="3" t="inlineStr">
        <is>
          <t>Essential items</t>
        </is>
      </c>
      <c r="H36" s="37">
        <f>SUMIF($D$5:$D$34,"Essential",$H$5:$H$34)</f>
        <v/>
      </c>
    </row>
    <row r="37">
      <c r="A37" s="2" t="inlineStr">
        <is>
          <t>CX_OPT</t>
        </is>
      </c>
      <c r="B37" s="3" t="inlineStr">
        <is>
          <t>Optional items</t>
        </is>
      </c>
      <c r="H37" s="37">
        <f>SUMIF($D$5:$D$34,"Optional",$H$5:$H$34)</f>
        <v/>
      </c>
    </row>
    <row r="38">
      <c r="A38" s="2" t="inlineStr">
        <is>
          <t>CX_SUB</t>
        </is>
      </c>
      <c r="B38" s="3" t="inlineStr">
        <is>
          <t>All items</t>
        </is>
      </c>
      <c r="H38" s="37">
        <f>SUM($H$5:$H$34)</f>
        <v/>
      </c>
    </row>
    <row r="39">
      <c r="A39" s="2" t="inlineStr">
        <is>
          <t>CX_CONT</t>
        </is>
      </c>
      <c r="B39" s="3" t="inlineStr">
        <is>
          <t>Contingency</t>
        </is>
      </c>
      <c r="H39" s="37">
        <f>H38*Assumptions!$H$10</f>
        <v/>
      </c>
    </row>
    <row r="40">
      <c r="A40" s="2" t="inlineStr">
        <is>
          <t>CX_TOT</t>
        </is>
      </c>
      <c r="B40" s="3" t="inlineStr">
        <is>
          <t>Capital items including contingency</t>
        </is>
      </c>
      <c r="H40" s="37">
        <f>H38+H39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S60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4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</cols>
  <sheetData>
    <row r="1">
      <c r="A1" s="1" t="inlineStr">
        <is>
          <t>CashFlow</t>
        </is>
      </c>
    </row>
    <row r="2">
      <c r="A2" s="2" t="inlineStr">
        <is>
          <t>Monthly cash flow, pre-financing, real RWF. Months 1–24 are the requested monthly view; the engine runs 120 months.</t>
        </is>
      </c>
    </row>
    <row r="3">
      <c r="B3" s="3" t="inlineStr">
        <is>
          <t>Month</t>
        </is>
      </c>
      <c r="D3" s="32" t="n">
        <v>1</v>
      </c>
      <c r="E3" s="32" t="n">
        <v>2</v>
      </c>
      <c r="F3" s="32" t="n">
        <v>3</v>
      </c>
      <c r="G3" s="32" t="n">
        <v>4</v>
      </c>
      <c r="H3" s="32" t="n">
        <v>5</v>
      </c>
      <c r="I3" s="32" t="n">
        <v>6</v>
      </c>
      <c r="J3" s="32" t="n">
        <v>7</v>
      </c>
      <c r="K3" s="32" t="n">
        <v>8</v>
      </c>
      <c r="L3" s="32" t="n">
        <v>9</v>
      </c>
      <c r="M3" s="32" t="n">
        <v>10</v>
      </c>
      <c r="N3" s="32" t="n">
        <v>11</v>
      </c>
      <c r="O3" s="32" t="n">
        <v>12</v>
      </c>
      <c r="P3" s="32" t="n">
        <v>13</v>
      </c>
      <c r="Q3" s="32" t="n">
        <v>14</v>
      </c>
      <c r="R3" s="32" t="n">
        <v>15</v>
      </c>
      <c r="S3" s="32" t="n">
        <v>16</v>
      </c>
      <c r="T3" s="32" t="n">
        <v>17</v>
      </c>
      <c r="U3" s="32" t="n">
        <v>18</v>
      </c>
      <c r="V3" s="32" t="n">
        <v>19</v>
      </c>
      <c r="W3" s="32" t="n">
        <v>20</v>
      </c>
      <c r="X3" s="32" t="n">
        <v>21</v>
      </c>
      <c r="Y3" s="32" t="n">
        <v>22</v>
      </c>
      <c r="Z3" s="32" t="n">
        <v>23</v>
      </c>
      <c r="AA3" s="32" t="n">
        <v>24</v>
      </c>
      <c r="AB3" s="32" t="n">
        <v>25</v>
      </c>
      <c r="AC3" s="32" t="n">
        <v>26</v>
      </c>
      <c r="AD3" s="32" t="n">
        <v>27</v>
      </c>
      <c r="AE3" s="32" t="n">
        <v>28</v>
      </c>
      <c r="AF3" s="32" t="n">
        <v>29</v>
      </c>
      <c r="AG3" s="32" t="n">
        <v>30</v>
      </c>
      <c r="AH3" s="32" t="n">
        <v>31</v>
      </c>
      <c r="AI3" s="32" t="n">
        <v>32</v>
      </c>
      <c r="AJ3" s="32" t="n">
        <v>33</v>
      </c>
      <c r="AK3" s="32" t="n">
        <v>34</v>
      </c>
      <c r="AL3" s="32" t="n">
        <v>35</v>
      </c>
      <c r="AM3" s="32" t="n">
        <v>36</v>
      </c>
      <c r="AN3" s="32" t="n">
        <v>37</v>
      </c>
      <c r="AO3" s="32" t="n">
        <v>38</v>
      </c>
      <c r="AP3" s="32" t="n">
        <v>39</v>
      </c>
      <c r="AQ3" s="32" t="n">
        <v>40</v>
      </c>
      <c r="AR3" s="32" t="n">
        <v>41</v>
      </c>
      <c r="AS3" s="32" t="n">
        <v>42</v>
      </c>
      <c r="AT3" s="32" t="n">
        <v>43</v>
      </c>
      <c r="AU3" s="32" t="n">
        <v>44</v>
      </c>
      <c r="AV3" s="32" t="n">
        <v>45</v>
      </c>
      <c r="AW3" s="32" t="n">
        <v>46</v>
      </c>
      <c r="AX3" s="32" t="n">
        <v>47</v>
      </c>
      <c r="AY3" s="32" t="n">
        <v>48</v>
      </c>
      <c r="AZ3" s="32" t="n">
        <v>49</v>
      </c>
      <c r="BA3" s="32" t="n">
        <v>50</v>
      </c>
      <c r="BB3" s="32" t="n">
        <v>51</v>
      </c>
      <c r="BC3" s="32" t="n">
        <v>52</v>
      </c>
      <c r="BD3" s="32" t="n">
        <v>53</v>
      </c>
      <c r="BE3" s="32" t="n">
        <v>54</v>
      </c>
      <c r="BF3" s="32" t="n">
        <v>55</v>
      </c>
      <c r="BG3" s="32" t="n">
        <v>56</v>
      </c>
      <c r="BH3" s="32" t="n">
        <v>57</v>
      </c>
      <c r="BI3" s="32" t="n">
        <v>58</v>
      </c>
      <c r="BJ3" s="32" t="n">
        <v>59</v>
      </c>
      <c r="BK3" s="32" t="n">
        <v>60</v>
      </c>
      <c r="BL3" s="32" t="n">
        <v>61</v>
      </c>
      <c r="BM3" s="32" t="n">
        <v>62</v>
      </c>
      <c r="BN3" s="32" t="n">
        <v>63</v>
      </c>
      <c r="BO3" s="32" t="n">
        <v>64</v>
      </c>
      <c r="BP3" s="32" t="n">
        <v>65</v>
      </c>
      <c r="BQ3" s="32" t="n">
        <v>66</v>
      </c>
      <c r="BR3" s="32" t="n">
        <v>67</v>
      </c>
      <c r="BS3" s="32" t="n">
        <v>68</v>
      </c>
      <c r="BT3" s="32" t="n">
        <v>69</v>
      </c>
      <c r="BU3" s="32" t="n">
        <v>70</v>
      </c>
      <c r="BV3" s="32" t="n">
        <v>71</v>
      </c>
      <c r="BW3" s="32" t="n">
        <v>72</v>
      </c>
      <c r="BX3" s="32" t="n">
        <v>73</v>
      </c>
      <c r="BY3" s="32" t="n">
        <v>74</v>
      </c>
      <c r="BZ3" s="32" t="n">
        <v>75</v>
      </c>
      <c r="CA3" s="32" t="n">
        <v>76</v>
      </c>
      <c r="CB3" s="32" t="n">
        <v>77</v>
      </c>
      <c r="CC3" s="32" t="n">
        <v>78</v>
      </c>
      <c r="CD3" s="32" t="n">
        <v>79</v>
      </c>
      <c r="CE3" s="32" t="n">
        <v>80</v>
      </c>
      <c r="CF3" s="32" t="n">
        <v>81</v>
      </c>
      <c r="CG3" s="32" t="n">
        <v>82</v>
      </c>
      <c r="CH3" s="32" t="n">
        <v>83</v>
      </c>
      <c r="CI3" s="32" t="n">
        <v>84</v>
      </c>
      <c r="CJ3" s="32" t="n">
        <v>85</v>
      </c>
      <c r="CK3" s="32" t="n">
        <v>86</v>
      </c>
      <c r="CL3" s="32" t="n">
        <v>87</v>
      </c>
      <c r="CM3" s="32" t="n">
        <v>88</v>
      </c>
      <c r="CN3" s="32" t="n">
        <v>89</v>
      </c>
      <c r="CO3" s="32" t="n">
        <v>90</v>
      </c>
      <c r="CP3" s="32" t="n">
        <v>91</v>
      </c>
      <c r="CQ3" s="32" t="n">
        <v>92</v>
      </c>
      <c r="CR3" s="32" t="n">
        <v>93</v>
      </c>
      <c r="CS3" s="32" t="n">
        <v>94</v>
      </c>
      <c r="CT3" s="32" t="n">
        <v>95</v>
      </c>
      <c r="CU3" s="32" t="n">
        <v>96</v>
      </c>
      <c r="CV3" s="32" t="n">
        <v>97</v>
      </c>
      <c r="CW3" s="32" t="n">
        <v>98</v>
      </c>
      <c r="CX3" s="32" t="n">
        <v>99</v>
      </c>
      <c r="CY3" s="32" t="n">
        <v>100</v>
      </c>
      <c r="CZ3" s="32" t="n">
        <v>101</v>
      </c>
      <c r="DA3" s="32" t="n">
        <v>102</v>
      </c>
      <c r="DB3" s="32" t="n">
        <v>103</v>
      </c>
      <c r="DC3" s="32" t="n">
        <v>104</v>
      </c>
      <c r="DD3" s="32" t="n">
        <v>105</v>
      </c>
      <c r="DE3" s="32" t="n">
        <v>106</v>
      </c>
      <c r="DF3" s="32" t="n">
        <v>107</v>
      </c>
      <c r="DG3" s="32" t="n">
        <v>108</v>
      </c>
      <c r="DH3" s="32" t="n">
        <v>109</v>
      </c>
      <c r="DI3" s="32" t="n">
        <v>110</v>
      </c>
      <c r="DJ3" s="32" t="n">
        <v>111</v>
      </c>
      <c r="DK3" s="32" t="n">
        <v>112</v>
      </c>
      <c r="DL3" s="32" t="n">
        <v>113</v>
      </c>
      <c r="DM3" s="32" t="n">
        <v>114</v>
      </c>
      <c r="DN3" s="32" t="n">
        <v>115</v>
      </c>
      <c r="DO3" s="32" t="n">
        <v>116</v>
      </c>
      <c r="DP3" s="32" t="n">
        <v>117</v>
      </c>
      <c r="DQ3" s="32" t="n">
        <v>118</v>
      </c>
      <c r="DR3" s="32" t="n">
        <v>119</v>
      </c>
      <c r="DS3" s="32" t="n">
        <v>120</v>
      </c>
    </row>
    <row r="4">
      <c r="B4" s="3" t="inlineStr">
        <is>
          <t>Farm year</t>
        </is>
      </c>
      <c r="D4" s="33">
        <f>INT((D$3-1)/12)+1</f>
        <v/>
      </c>
      <c r="E4" s="33">
        <f>INT((E$3-1)/12)+1</f>
        <v/>
      </c>
      <c r="F4" s="33">
        <f>INT((F$3-1)/12)+1</f>
        <v/>
      </c>
      <c r="G4" s="33">
        <f>INT((G$3-1)/12)+1</f>
        <v/>
      </c>
      <c r="H4" s="33">
        <f>INT((H$3-1)/12)+1</f>
        <v/>
      </c>
      <c r="I4" s="33">
        <f>INT((I$3-1)/12)+1</f>
        <v/>
      </c>
      <c r="J4" s="33">
        <f>INT((J$3-1)/12)+1</f>
        <v/>
      </c>
      <c r="K4" s="33">
        <f>INT((K$3-1)/12)+1</f>
        <v/>
      </c>
      <c r="L4" s="33">
        <f>INT((L$3-1)/12)+1</f>
        <v/>
      </c>
      <c r="M4" s="33">
        <f>INT((M$3-1)/12)+1</f>
        <v/>
      </c>
      <c r="N4" s="33">
        <f>INT((N$3-1)/12)+1</f>
        <v/>
      </c>
      <c r="O4" s="33">
        <f>INT((O$3-1)/12)+1</f>
        <v/>
      </c>
      <c r="P4" s="33">
        <f>INT((P$3-1)/12)+1</f>
        <v/>
      </c>
      <c r="Q4" s="33">
        <f>INT((Q$3-1)/12)+1</f>
        <v/>
      </c>
      <c r="R4" s="33">
        <f>INT((R$3-1)/12)+1</f>
        <v/>
      </c>
      <c r="S4" s="33">
        <f>INT((S$3-1)/12)+1</f>
        <v/>
      </c>
      <c r="T4" s="33">
        <f>INT((T$3-1)/12)+1</f>
        <v/>
      </c>
      <c r="U4" s="33">
        <f>INT((U$3-1)/12)+1</f>
        <v/>
      </c>
      <c r="V4" s="33">
        <f>INT((V$3-1)/12)+1</f>
        <v/>
      </c>
      <c r="W4" s="33">
        <f>INT((W$3-1)/12)+1</f>
        <v/>
      </c>
      <c r="X4" s="33">
        <f>INT((X$3-1)/12)+1</f>
        <v/>
      </c>
      <c r="Y4" s="33">
        <f>INT((Y$3-1)/12)+1</f>
        <v/>
      </c>
      <c r="Z4" s="33">
        <f>INT((Z$3-1)/12)+1</f>
        <v/>
      </c>
      <c r="AA4" s="33">
        <f>INT((AA$3-1)/12)+1</f>
        <v/>
      </c>
      <c r="AB4" s="33">
        <f>INT((AB$3-1)/12)+1</f>
        <v/>
      </c>
      <c r="AC4" s="33">
        <f>INT((AC$3-1)/12)+1</f>
        <v/>
      </c>
      <c r="AD4" s="33">
        <f>INT((AD$3-1)/12)+1</f>
        <v/>
      </c>
      <c r="AE4" s="33">
        <f>INT((AE$3-1)/12)+1</f>
        <v/>
      </c>
      <c r="AF4" s="33">
        <f>INT((AF$3-1)/12)+1</f>
        <v/>
      </c>
      <c r="AG4" s="33">
        <f>INT((AG$3-1)/12)+1</f>
        <v/>
      </c>
      <c r="AH4" s="33">
        <f>INT((AH$3-1)/12)+1</f>
        <v/>
      </c>
      <c r="AI4" s="33">
        <f>INT((AI$3-1)/12)+1</f>
        <v/>
      </c>
      <c r="AJ4" s="33">
        <f>INT((AJ$3-1)/12)+1</f>
        <v/>
      </c>
      <c r="AK4" s="33">
        <f>INT((AK$3-1)/12)+1</f>
        <v/>
      </c>
      <c r="AL4" s="33">
        <f>INT((AL$3-1)/12)+1</f>
        <v/>
      </c>
      <c r="AM4" s="33">
        <f>INT((AM$3-1)/12)+1</f>
        <v/>
      </c>
      <c r="AN4" s="33">
        <f>INT((AN$3-1)/12)+1</f>
        <v/>
      </c>
      <c r="AO4" s="33">
        <f>INT((AO$3-1)/12)+1</f>
        <v/>
      </c>
      <c r="AP4" s="33">
        <f>INT((AP$3-1)/12)+1</f>
        <v/>
      </c>
      <c r="AQ4" s="33">
        <f>INT((AQ$3-1)/12)+1</f>
        <v/>
      </c>
      <c r="AR4" s="33">
        <f>INT((AR$3-1)/12)+1</f>
        <v/>
      </c>
      <c r="AS4" s="33">
        <f>INT((AS$3-1)/12)+1</f>
        <v/>
      </c>
      <c r="AT4" s="33">
        <f>INT((AT$3-1)/12)+1</f>
        <v/>
      </c>
      <c r="AU4" s="33">
        <f>INT((AU$3-1)/12)+1</f>
        <v/>
      </c>
      <c r="AV4" s="33">
        <f>INT((AV$3-1)/12)+1</f>
        <v/>
      </c>
      <c r="AW4" s="33">
        <f>INT((AW$3-1)/12)+1</f>
        <v/>
      </c>
      <c r="AX4" s="33">
        <f>INT((AX$3-1)/12)+1</f>
        <v/>
      </c>
      <c r="AY4" s="33">
        <f>INT((AY$3-1)/12)+1</f>
        <v/>
      </c>
      <c r="AZ4" s="33">
        <f>INT((AZ$3-1)/12)+1</f>
        <v/>
      </c>
      <c r="BA4" s="33">
        <f>INT((BA$3-1)/12)+1</f>
        <v/>
      </c>
      <c r="BB4" s="33">
        <f>INT((BB$3-1)/12)+1</f>
        <v/>
      </c>
      <c r="BC4" s="33">
        <f>INT((BC$3-1)/12)+1</f>
        <v/>
      </c>
      <c r="BD4" s="33">
        <f>INT((BD$3-1)/12)+1</f>
        <v/>
      </c>
      <c r="BE4" s="33">
        <f>INT((BE$3-1)/12)+1</f>
        <v/>
      </c>
      <c r="BF4" s="33">
        <f>INT((BF$3-1)/12)+1</f>
        <v/>
      </c>
      <c r="BG4" s="33">
        <f>INT((BG$3-1)/12)+1</f>
        <v/>
      </c>
      <c r="BH4" s="33">
        <f>INT((BH$3-1)/12)+1</f>
        <v/>
      </c>
      <c r="BI4" s="33">
        <f>INT((BI$3-1)/12)+1</f>
        <v/>
      </c>
      <c r="BJ4" s="33">
        <f>INT((BJ$3-1)/12)+1</f>
        <v/>
      </c>
      <c r="BK4" s="33">
        <f>INT((BK$3-1)/12)+1</f>
        <v/>
      </c>
      <c r="BL4" s="33">
        <f>INT((BL$3-1)/12)+1</f>
        <v/>
      </c>
      <c r="BM4" s="33">
        <f>INT((BM$3-1)/12)+1</f>
        <v/>
      </c>
      <c r="BN4" s="33">
        <f>INT((BN$3-1)/12)+1</f>
        <v/>
      </c>
      <c r="BO4" s="33">
        <f>INT((BO$3-1)/12)+1</f>
        <v/>
      </c>
      <c r="BP4" s="33">
        <f>INT((BP$3-1)/12)+1</f>
        <v/>
      </c>
      <c r="BQ4" s="33">
        <f>INT((BQ$3-1)/12)+1</f>
        <v/>
      </c>
      <c r="BR4" s="33">
        <f>INT((BR$3-1)/12)+1</f>
        <v/>
      </c>
      <c r="BS4" s="33">
        <f>INT((BS$3-1)/12)+1</f>
        <v/>
      </c>
      <c r="BT4" s="33">
        <f>INT((BT$3-1)/12)+1</f>
        <v/>
      </c>
      <c r="BU4" s="33">
        <f>INT((BU$3-1)/12)+1</f>
        <v/>
      </c>
      <c r="BV4" s="33">
        <f>INT((BV$3-1)/12)+1</f>
        <v/>
      </c>
      <c r="BW4" s="33">
        <f>INT((BW$3-1)/12)+1</f>
        <v/>
      </c>
      <c r="BX4" s="33">
        <f>INT((BX$3-1)/12)+1</f>
        <v/>
      </c>
      <c r="BY4" s="33">
        <f>INT((BY$3-1)/12)+1</f>
        <v/>
      </c>
      <c r="BZ4" s="33">
        <f>INT((BZ$3-1)/12)+1</f>
        <v/>
      </c>
      <c r="CA4" s="33">
        <f>INT((CA$3-1)/12)+1</f>
        <v/>
      </c>
      <c r="CB4" s="33">
        <f>INT((CB$3-1)/12)+1</f>
        <v/>
      </c>
      <c r="CC4" s="33">
        <f>INT((CC$3-1)/12)+1</f>
        <v/>
      </c>
      <c r="CD4" s="33">
        <f>INT((CD$3-1)/12)+1</f>
        <v/>
      </c>
      <c r="CE4" s="33">
        <f>INT((CE$3-1)/12)+1</f>
        <v/>
      </c>
      <c r="CF4" s="33">
        <f>INT((CF$3-1)/12)+1</f>
        <v/>
      </c>
      <c r="CG4" s="33">
        <f>INT((CG$3-1)/12)+1</f>
        <v/>
      </c>
      <c r="CH4" s="33">
        <f>INT((CH$3-1)/12)+1</f>
        <v/>
      </c>
      <c r="CI4" s="33">
        <f>INT((CI$3-1)/12)+1</f>
        <v/>
      </c>
      <c r="CJ4" s="33">
        <f>INT((CJ$3-1)/12)+1</f>
        <v/>
      </c>
      <c r="CK4" s="33">
        <f>INT((CK$3-1)/12)+1</f>
        <v/>
      </c>
      <c r="CL4" s="33">
        <f>INT((CL$3-1)/12)+1</f>
        <v/>
      </c>
      <c r="CM4" s="33">
        <f>INT((CM$3-1)/12)+1</f>
        <v/>
      </c>
      <c r="CN4" s="33">
        <f>INT((CN$3-1)/12)+1</f>
        <v/>
      </c>
      <c r="CO4" s="33">
        <f>INT((CO$3-1)/12)+1</f>
        <v/>
      </c>
      <c r="CP4" s="33">
        <f>INT((CP$3-1)/12)+1</f>
        <v/>
      </c>
      <c r="CQ4" s="33">
        <f>INT((CQ$3-1)/12)+1</f>
        <v/>
      </c>
      <c r="CR4" s="33">
        <f>INT((CR$3-1)/12)+1</f>
        <v/>
      </c>
      <c r="CS4" s="33">
        <f>INT((CS$3-1)/12)+1</f>
        <v/>
      </c>
      <c r="CT4" s="33">
        <f>INT((CT$3-1)/12)+1</f>
        <v/>
      </c>
      <c r="CU4" s="33">
        <f>INT((CU$3-1)/12)+1</f>
        <v/>
      </c>
      <c r="CV4" s="33">
        <f>INT((CV$3-1)/12)+1</f>
        <v/>
      </c>
      <c r="CW4" s="33">
        <f>INT((CW$3-1)/12)+1</f>
        <v/>
      </c>
      <c r="CX4" s="33">
        <f>INT((CX$3-1)/12)+1</f>
        <v/>
      </c>
      <c r="CY4" s="33">
        <f>INT((CY$3-1)/12)+1</f>
        <v/>
      </c>
      <c r="CZ4" s="33">
        <f>INT((CZ$3-1)/12)+1</f>
        <v/>
      </c>
      <c r="DA4" s="33">
        <f>INT((DA$3-1)/12)+1</f>
        <v/>
      </c>
      <c r="DB4" s="33">
        <f>INT((DB$3-1)/12)+1</f>
        <v/>
      </c>
      <c r="DC4" s="33">
        <f>INT((DC$3-1)/12)+1</f>
        <v/>
      </c>
      <c r="DD4" s="33">
        <f>INT((DD$3-1)/12)+1</f>
        <v/>
      </c>
      <c r="DE4" s="33">
        <f>INT((DE$3-1)/12)+1</f>
        <v/>
      </c>
      <c r="DF4" s="33">
        <f>INT((DF$3-1)/12)+1</f>
        <v/>
      </c>
      <c r="DG4" s="33">
        <f>INT((DG$3-1)/12)+1</f>
        <v/>
      </c>
      <c r="DH4" s="33">
        <f>INT((DH$3-1)/12)+1</f>
        <v/>
      </c>
      <c r="DI4" s="33">
        <f>INT((DI$3-1)/12)+1</f>
        <v/>
      </c>
      <c r="DJ4" s="33">
        <f>INT((DJ$3-1)/12)+1</f>
        <v/>
      </c>
      <c r="DK4" s="33">
        <f>INT((DK$3-1)/12)+1</f>
        <v/>
      </c>
      <c r="DL4" s="33">
        <f>INT((DL$3-1)/12)+1</f>
        <v/>
      </c>
      <c r="DM4" s="33">
        <f>INT((DM$3-1)/12)+1</f>
        <v/>
      </c>
      <c r="DN4" s="33">
        <f>INT((DN$3-1)/12)+1</f>
        <v/>
      </c>
      <c r="DO4" s="33">
        <f>INT((DO$3-1)/12)+1</f>
        <v/>
      </c>
      <c r="DP4" s="33">
        <f>INT((DP$3-1)/12)+1</f>
        <v/>
      </c>
      <c r="DQ4" s="33">
        <f>INT((DQ$3-1)/12)+1</f>
        <v/>
      </c>
      <c r="DR4" s="33">
        <f>INT((DR$3-1)/12)+1</f>
        <v/>
      </c>
      <c r="DS4" s="33">
        <f>INT((DS$3-1)/12)+1</f>
        <v/>
      </c>
    </row>
    <row r="5">
      <c r="B5" s="3" t="inlineStr">
        <is>
          <t>Calendar month</t>
        </is>
      </c>
      <c r="D5" s="28">
        <f>MOD(Control!$C$10+D$3-2,12)+1</f>
        <v/>
      </c>
      <c r="E5" s="28">
        <f>MOD(Control!$C$10+E$3-2,12)+1</f>
        <v/>
      </c>
      <c r="F5" s="28">
        <f>MOD(Control!$C$10+F$3-2,12)+1</f>
        <v/>
      </c>
      <c r="G5" s="28">
        <f>MOD(Control!$C$10+G$3-2,12)+1</f>
        <v/>
      </c>
      <c r="H5" s="28">
        <f>MOD(Control!$C$10+H$3-2,12)+1</f>
        <v/>
      </c>
      <c r="I5" s="28">
        <f>MOD(Control!$C$10+I$3-2,12)+1</f>
        <v/>
      </c>
      <c r="J5" s="28">
        <f>MOD(Control!$C$10+J$3-2,12)+1</f>
        <v/>
      </c>
      <c r="K5" s="28">
        <f>MOD(Control!$C$10+K$3-2,12)+1</f>
        <v/>
      </c>
      <c r="L5" s="28">
        <f>MOD(Control!$C$10+L$3-2,12)+1</f>
        <v/>
      </c>
      <c r="M5" s="28">
        <f>MOD(Control!$C$10+M$3-2,12)+1</f>
        <v/>
      </c>
      <c r="N5" s="28">
        <f>MOD(Control!$C$10+N$3-2,12)+1</f>
        <v/>
      </c>
      <c r="O5" s="28">
        <f>MOD(Control!$C$10+O$3-2,12)+1</f>
        <v/>
      </c>
      <c r="P5" s="28">
        <f>MOD(Control!$C$10+P$3-2,12)+1</f>
        <v/>
      </c>
      <c r="Q5" s="28">
        <f>MOD(Control!$C$10+Q$3-2,12)+1</f>
        <v/>
      </c>
      <c r="R5" s="28">
        <f>MOD(Control!$C$10+R$3-2,12)+1</f>
        <v/>
      </c>
      <c r="S5" s="28">
        <f>MOD(Control!$C$10+S$3-2,12)+1</f>
        <v/>
      </c>
      <c r="T5" s="28">
        <f>MOD(Control!$C$10+T$3-2,12)+1</f>
        <v/>
      </c>
      <c r="U5" s="28">
        <f>MOD(Control!$C$10+U$3-2,12)+1</f>
        <v/>
      </c>
      <c r="V5" s="28">
        <f>MOD(Control!$C$10+V$3-2,12)+1</f>
        <v/>
      </c>
      <c r="W5" s="28">
        <f>MOD(Control!$C$10+W$3-2,12)+1</f>
        <v/>
      </c>
      <c r="X5" s="28">
        <f>MOD(Control!$C$10+X$3-2,12)+1</f>
        <v/>
      </c>
      <c r="Y5" s="28">
        <f>MOD(Control!$C$10+Y$3-2,12)+1</f>
        <v/>
      </c>
      <c r="Z5" s="28">
        <f>MOD(Control!$C$10+Z$3-2,12)+1</f>
        <v/>
      </c>
      <c r="AA5" s="28">
        <f>MOD(Control!$C$10+AA$3-2,12)+1</f>
        <v/>
      </c>
      <c r="AB5" s="28">
        <f>MOD(Control!$C$10+AB$3-2,12)+1</f>
        <v/>
      </c>
      <c r="AC5" s="28">
        <f>MOD(Control!$C$10+AC$3-2,12)+1</f>
        <v/>
      </c>
      <c r="AD5" s="28">
        <f>MOD(Control!$C$10+AD$3-2,12)+1</f>
        <v/>
      </c>
      <c r="AE5" s="28">
        <f>MOD(Control!$C$10+AE$3-2,12)+1</f>
        <v/>
      </c>
      <c r="AF5" s="28">
        <f>MOD(Control!$C$10+AF$3-2,12)+1</f>
        <v/>
      </c>
      <c r="AG5" s="28">
        <f>MOD(Control!$C$10+AG$3-2,12)+1</f>
        <v/>
      </c>
      <c r="AH5" s="28">
        <f>MOD(Control!$C$10+AH$3-2,12)+1</f>
        <v/>
      </c>
      <c r="AI5" s="28">
        <f>MOD(Control!$C$10+AI$3-2,12)+1</f>
        <v/>
      </c>
      <c r="AJ5" s="28">
        <f>MOD(Control!$C$10+AJ$3-2,12)+1</f>
        <v/>
      </c>
      <c r="AK5" s="28">
        <f>MOD(Control!$C$10+AK$3-2,12)+1</f>
        <v/>
      </c>
      <c r="AL5" s="28">
        <f>MOD(Control!$C$10+AL$3-2,12)+1</f>
        <v/>
      </c>
      <c r="AM5" s="28">
        <f>MOD(Control!$C$10+AM$3-2,12)+1</f>
        <v/>
      </c>
      <c r="AN5" s="28">
        <f>MOD(Control!$C$10+AN$3-2,12)+1</f>
        <v/>
      </c>
      <c r="AO5" s="28">
        <f>MOD(Control!$C$10+AO$3-2,12)+1</f>
        <v/>
      </c>
      <c r="AP5" s="28">
        <f>MOD(Control!$C$10+AP$3-2,12)+1</f>
        <v/>
      </c>
      <c r="AQ5" s="28">
        <f>MOD(Control!$C$10+AQ$3-2,12)+1</f>
        <v/>
      </c>
      <c r="AR5" s="28">
        <f>MOD(Control!$C$10+AR$3-2,12)+1</f>
        <v/>
      </c>
      <c r="AS5" s="28">
        <f>MOD(Control!$C$10+AS$3-2,12)+1</f>
        <v/>
      </c>
      <c r="AT5" s="28">
        <f>MOD(Control!$C$10+AT$3-2,12)+1</f>
        <v/>
      </c>
      <c r="AU5" s="28">
        <f>MOD(Control!$C$10+AU$3-2,12)+1</f>
        <v/>
      </c>
      <c r="AV5" s="28">
        <f>MOD(Control!$C$10+AV$3-2,12)+1</f>
        <v/>
      </c>
      <c r="AW5" s="28">
        <f>MOD(Control!$C$10+AW$3-2,12)+1</f>
        <v/>
      </c>
      <c r="AX5" s="28">
        <f>MOD(Control!$C$10+AX$3-2,12)+1</f>
        <v/>
      </c>
      <c r="AY5" s="28">
        <f>MOD(Control!$C$10+AY$3-2,12)+1</f>
        <v/>
      </c>
      <c r="AZ5" s="28">
        <f>MOD(Control!$C$10+AZ$3-2,12)+1</f>
        <v/>
      </c>
      <c r="BA5" s="28">
        <f>MOD(Control!$C$10+BA$3-2,12)+1</f>
        <v/>
      </c>
      <c r="BB5" s="28">
        <f>MOD(Control!$C$10+BB$3-2,12)+1</f>
        <v/>
      </c>
      <c r="BC5" s="28">
        <f>MOD(Control!$C$10+BC$3-2,12)+1</f>
        <v/>
      </c>
      <c r="BD5" s="28">
        <f>MOD(Control!$C$10+BD$3-2,12)+1</f>
        <v/>
      </c>
      <c r="BE5" s="28">
        <f>MOD(Control!$C$10+BE$3-2,12)+1</f>
        <v/>
      </c>
      <c r="BF5" s="28">
        <f>MOD(Control!$C$10+BF$3-2,12)+1</f>
        <v/>
      </c>
      <c r="BG5" s="28">
        <f>MOD(Control!$C$10+BG$3-2,12)+1</f>
        <v/>
      </c>
      <c r="BH5" s="28">
        <f>MOD(Control!$C$10+BH$3-2,12)+1</f>
        <v/>
      </c>
      <c r="BI5" s="28">
        <f>MOD(Control!$C$10+BI$3-2,12)+1</f>
        <v/>
      </c>
      <c r="BJ5" s="28">
        <f>MOD(Control!$C$10+BJ$3-2,12)+1</f>
        <v/>
      </c>
      <c r="BK5" s="28">
        <f>MOD(Control!$C$10+BK$3-2,12)+1</f>
        <v/>
      </c>
      <c r="BL5" s="28">
        <f>MOD(Control!$C$10+BL$3-2,12)+1</f>
        <v/>
      </c>
      <c r="BM5" s="28">
        <f>MOD(Control!$C$10+BM$3-2,12)+1</f>
        <v/>
      </c>
      <c r="BN5" s="28">
        <f>MOD(Control!$C$10+BN$3-2,12)+1</f>
        <v/>
      </c>
      <c r="BO5" s="28">
        <f>MOD(Control!$C$10+BO$3-2,12)+1</f>
        <v/>
      </c>
      <c r="BP5" s="28">
        <f>MOD(Control!$C$10+BP$3-2,12)+1</f>
        <v/>
      </c>
      <c r="BQ5" s="28">
        <f>MOD(Control!$C$10+BQ$3-2,12)+1</f>
        <v/>
      </c>
      <c r="BR5" s="28">
        <f>MOD(Control!$C$10+BR$3-2,12)+1</f>
        <v/>
      </c>
      <c r="BS5" s="28">
        <f>MOD(Control!$C$10+BS$3-2,12)+1</f>
        <v/>
      </c>
      <c r="BT5" s="28">
        <f>MOD(Control!$C$10+BT$3-2,12)+1</f>
        <v/>
      </c>
      <c r="BU5" s="28">
        <f>MOD(Control!$C$10+BU$3-2,12)+1</f>
        <v/>
      </c>
      <c r="BV5" s="28">
        <f>MOD(Control!$C$10+BV$3-2,12)+1</f>
        <v/>
      </c>
      <c r="BW5" s="28">
        <f>MOD(Control!$C$10+BW$3-2,12)+1</f>
        <v/>
      </c>
      <c r="BX5" s="28">
        <f>MOD(Control!$C$10+BX$3-2,12)+1</f>
        <v/>
      </c>
      <c r="BY5" s="28">
        <f>MOD(Control!$C$10+BY$3-2,12)+1</f>
        <v/>
      </c>
      <c r="BZ5" s="28">
        <f>MOD(Control!$C$10+BZ$3-2,12)+1</f>
        <v/>
      </c>
      <c r="CA5" s="28">
        <f>MOD(Control!$C$10+CA$3-2,12)+1</f>
        <v/>
      </c>
      <c r="CB5" s="28">
        <f>MOD(Control!$C$10+CB$3-2,12)+1</f>
        <v/>
      </c>
      <c r="CC5" s="28">
        <f>MOD(Control!$C$10+CC$3-2,12)+1</f>
        <v/>
      </c>
      <c r="CD5" s="28">
        <f>MOD(Control!$C$10+CD$3-2,12)+1</f>
        <v/>
      </c>
      <c r="CE5" s="28">
        <f>MOD(Control!$C$10+CE$3-2,12)+1</f>
        <v/>
      </c>
      <c r="CF5" s="28">
        <f>MOD(Control!$C$10+CF$3-2,12)+1</f>
        <v/>
      </c>
      <c r="CG5" s="28">
        <f>MOD(Control!$C$10+CG$3-2,12)+1</f>
        <v/>
      </c>
      <c r="CH5" s="28">
        <f>MOD(Control!$C$10+CH$3-2,12)+1</f>
        <v/>
      </c>
      <c r="CI5" s="28">
        <f>MOD(Control!$C$10+CI$3-2,12)+1</f>
        <v/>
      </c>
      <c r="CJ5" s="28">
        <f>MOD(Control!$C$10+CJ$3-2,12)+1</f>
        <v/>
      </c>
      <c r="CK5" s="28">
        <f>MOD(Control!$C$10+CK$3-2,12)+1</f>
        <v/>
      </c>
      <c r="CL5" s="28">
        <f>MOD(Control!$C$10+CL$3-2,12)+1</f>
        <v/>
      </c>
      <c r="CM5" s="28">
        <f>MOD(Control!$C$10+CM$3-2,12)+1</f>
        <v/>
      </c>
      <c r="CN5" s="28">
        <f>MOD(Control!$C$10+CN$3-2,12)+1</f>
        <v/>
      </c>
      <c r="CO5" s="28">
        <f>MOD(Control!$C$10+CO$3-2,12)+1</f>
        <v/>
      </c>
      <c r="CP5" s="28">
        <f>MOD(Control!$C$10+CP$3-2,12)+1</f>
        <v/>
      </c>
      <c r="CQ5" s="28">
        <f>MOD(Control!$C$10+CQ$3-2,12)+1</f>
        <v/>
      </c>
      <c r="CR5" s="28">
        <f>MOD(Control!$C$10+CR$3-2,12)+1</f>
        <v/>
      </c>
      <c r="CS5" s="28">
        <f>MOD(Control!$C$10+CS$3-2,12)+1</f>
        <v/>
      </c>
      <c r="CT5" s="28">
        <f>MOD(Control!$C$10+CT$3-2,12)+1</f>
        <v/>
      </c>
      <c r="CU5" s="28">
        <f>MOD(Control!$C$10+CU$3-2,12)+1</f>
        <v/>
      </c>
      <c r="CV5" s="28">
        <f>MOD(Control!$C$10+CV$3-2,12)+1</f>
        <v/>
      </c>
      <c r="CW5" s="28">
        <f>MOD(Control!$C$10+CW$3-2,12)+1</f>
        <v/>
      </c>
      <c r="CX5" s="28">
        <f>MOD(Control!$C$10+CX$3-2,12)+1</f>
        <v/>
      </c>
      <c r="CY5" s="28">
        <f>MOD(Control!$C$10+CY$3-2,12)+1</f>
        <v/>
      </c>
      <c r="CZ5" s="28">
        <f>MOD(Control!$C$10+CZ$3-2,12)+1</f>
        <v/>
      </c>
      <c r="DA5" s="28">
        <f>MOD(Control!$C$10+DA$3-2,12)+1</f>
        <v/>
      </c>
      <c r="DB5" s="28">
        <f>MOD(Control!$C$10+DB$3-2,12)+1</f>
        <v/>
      </c>
      <c r="DC5" s="28">
        <f>MOD(Control!$C$10+DC$3-2,12)+1</f>
        <v/>
      </c>
      <c r="DD5" s="28">
        <f>MOD(Control!$C$10+DD$3-2,12)+1</f>
        <v/>
      </c>
      <c r="DE5" s="28">
        <f>MOD(Control!$C$10+DE$3-2,12)+1</f>
        <v/>
      </c>
      <c r="DF5" s="28">
        <f>MOD(Control!$C$10+DF$3-2,12)+1</f>
        <v/>
      </c>
      <c r="DG5" s="28">
        <f>MOD(Control!$C$10+DG$3-2,12)+1</f>
        <v/>
      </c>
      <c r="DH5" s="28">
        <f>MOD(Control!$C$10+DH$3-2,12)+1</f>
        <v/>
      </c>
      <c r="DI5" s="28">
        <f>MOD(Control!$C$10+DI$3-2,12)+1</f>
        <v/>
      </c>
      <c r="DJ5" s="28">
        <f>MOD(Control!$C$10+DJ$3-2,12)+1</f>
        <v/>
      </c>
      <c r="DK5" s="28">
        <f>MOD(Control!$C$10+DK$3-2,12)+1</f>
        <v/>
      </c>
      <c r="DL5" s="28">
        <f>MOD(Control!$C$10+DL$3-2,12)+1</f>
        <v/>
      </c>
      <c r="DM5" s="28">
        <f>MOD(Control!$C$10+DM$3-2,12)+1</f>
        <v/>
      </c>
      <c r="DN5" s="28">
        <f>MOD(Control!$C$10+DN$3-2,12)+1</f>
        <v/>
      </c>
      <c r="DO5" s="28">
        <f>MOD(Control!$C$10+DO$3-2,12)+1</f>
        <v/>
      </c>
      <c r="DP5" s="28">
        <f>MOD(Control!$C$10+DP$3-2,12)+1</f>
        <v/>
      </c>
      <c r="DQ5" s="28">
        <f>MOD(Control!$C$10+DQ$3-2,12)+1</f>
        <v/>
      </c>
      <c r="DR5" s="28">
        <f>MOD(Control!$C$10+DR$3-2,12)+1</f>
        <v/>
      </c>
      <c r="DS5" s="28">
        <f>MOD(Control!$C$10+DS$3-2,12)+1</f>
        <v/>
      </c>
    </row>
    <row r="6">
      <c r="B6" s="3" t="inlineStr">
        <is>
          <t>Month starting</t>
        </is>
      </c>
      <c r="D6" s="34">
        <f>DATE(Control!$C$9+INT((Control!$C$10+D$3-2)/12),D$5,1)</f>
        <v/>
      </c>
      <c r="E6" s="34">
        <f>DATE(Control!$C$9+INT((Control!$C$10+E$3-2)/12),E$5,1)</f>
        <v/>
      </c>
      <c r="F6" s="34">
        <f>DATE(Control!$C$9+INT((Control!$C$10+F$3-2)/12),F$5,1)</f>
        <v/>
      </c>
      <c r="G6" s="34">
        <f>DATE(Control!$C$9+INT((Control!$C$10+G$3-2)/12),G$5,1)</f>
        <v/>
      </c>
      <c r="H6" s="34">
        <f>DATE(Control!$C$9+INT((Control!$C$10+H$3-2)/12),H$5,1)</f>
        <v/>
      </c>
      <c r="I6" s="34">
        <f>DATE(Control!$C$9+INT((Control!$C$10+I$3-2)/12),I$5,1)</f>
        <v/>
      </c>
      <c r="J6" s="34">
        <f>DATE(Control!$C$9+INT((Control!$C$10+J$3-2)/12),J$5,1)</f>
        <v/>
      </c>
      <c r="K6" s="34">
        <f>DATE(Control!$C$9+INT((Control!$C$10+K$3-2)/12),K$5,1)</f>
        <v/>
      </c>
      <c r="L6" s="34">
        <f>DATE(Control!$C$9+INT((Control!$C$10+L$3-2)/12),L$5,1)</f>
        <v/>
      </c>
      <c r="M6" s="34">
        <f>DATE(Control!$C$9+INT((Control!$C$10+M$3-2)/12),M$5,1)</f>
        <v/>
      </c>
      <c r="N6" s="34">
        <f>DATE(Control!$C$9+INT((Control!$C$10+N$3-2)/12),N$5,1)</f>
        <v/>
      </c>
      <c r="O6" s="34">
        <f>DATE(Control!$C$9+INT((Control!$C$10+O$3-2)/12),O$5,1)</f>
        <v/>
      </c>
      <c r="P6" s="34">
        <f>DATE(Control!$C$9+INT((Control!$C$10+P$3-2)/12),P$5,1)</f>
        <v/>
      </c>
      <c r="Q6" s="34">
        <f>DATE(Control!$C$9+INT((Control!$C$10+Q$3-2)/12),Q$5,1)</f>
        <v/>
      </c>
      <c r="R6" s="34">
        <f>DATE(Control!$C$9+INT((Control!$C$10+R$3-2)/12),R$5,1)</f>
        <v/>
      </c>
      <c r="S6" s="34">
        <f>DATE(Control!$C$9+INT((Control!$C$10+S$3-2)/12),S$5,1)</f>
        <v/>
      </c>
      <c r="T6" s="34">
        <f>DATE(Control!$C$9+INT((Control!$C$10+T$3-2)/12),T$5,1)</f>
        <v/>
      </c>
      <c r="U6" s="34">
        <f>DATE(Control!$C$9+INT((Control!$C$10+U$3-2)/12),U$5,1)</f>
        <v/>
      </c>
      <c r="V6" s="34">
        <f>DATE(Control!$C$9+INT((Control!$C$10+V$3-2)/12),V$5,1)</f>
        <v/>
      </c>
      <c r="W6" s="34">
        <f>DATE(Control!$C$9+INT((Control!$C$10+W$3-2)/12),W$5,1)</f>
        <v/>
      </c>
      <c r="X6" s="34">
        <f>DATE(Control!$C$9+INT((Control!$C$10+X$3-2)/12),X$5,1)</f>
        <v/>
      </c>
      <c r="Y6" s="34">
        <f>DATE(Control!$C$9+INT((Control!$C$10+Y$3-2)/12),Y$5,1)</f>
        <v/>
      </c>
      <c r="Z6" s="34">
        <f>DATE(Control!$C$9+INT((Control!$C$10+Z$3-2)/12),Z$5,1)</f>
        <v/>
      </c>
      <c r="AA6" s="34">
        <f>DATE(Control!$C$9+INT((Control!$C$10+AA$3-2)/12),AA$5,1)</f>
        <v/>
      </c>
      <c r="AB6" s="34">
        <f>DATE(Control!$C$9+INT((Control!$C$10+AB$3-2)/12),AB$5,1)</f>
        <v/>
      </c>
      <c r="AC6" s="34">
        <f>DATE(Control!$C$9+INT((Control!$C$10+AC$3-2)/12),AC$5,1)</f>
        <v/>
      </c>
      <c r="AD6" s="34">
        <f>DATE(Control!$C$9+INT((Control!$C$10+AD$3-2)/12),AD$5,1)</f>
        <v/>
      </c>
      <c r="AE6" s="34">
        <f>DATE(Control!$C$9+INT((Control!$C$10+AE$3-2)/12),AE$5,1)</f>
        <v/>
      </c>
      <c r="AF6" s="34">
        <f>DATE(Control!$C$9+INT((Control!$C$10+AF$3-2)/12),AF$5,1)</f>
        <v/>
      </c>
      <c r="AG6" s="34">
        <f>DATE(Control!$C$9+INT((Control!$C$10+AG$3-2)/12),AG$5,1)</f>
        <v/>
      </c>
      <c r="AH6" s="34">
        <f>DATE(Control!$C$9+INT((Control!$C$10+AH$3-2)/12),AH$5,1)</f>
        <v/>
      </c>
      <c r="AI6" s="34">
        <f>DATE(Control!$C$9+INT((Control!$C$10+AI$3-2)/12),AI$5,1)</f>
        <v/>
      </c>
      <c r="AJ6" s="34">
        <f>DATE(Control!$C$9+INT((Control!$C$10+AJ$3-2)/12),AJ$5,1)</f>
        <v/>
      </c>
      <c r="AK6" s="34">
        <f>DATE(Control!$C$9+INT((Control!$C$10+AK$3-2)/12),AK$5,1)</f>
        <v/>
      </c>
      <c r="AL6" s="34">
        <f>DATE(Control!$C$9+INT((Control!$C$10+AL$3-2)/12),AL$5,1)</f>
        <v/>
      </c>
      <c r="AM6" s="34">
        <f>DATE(Control!$C$9+INT((Control!$C$10+AM$3-2)/12),AM$5,1)</f>
        <v/>
      </c>
      <c r="AN6" s="34">
        <f>DATE(Control!$C$9+INT((Control!$C$10+AN$3-2)/12),AN$5,1)</f>
        <v/>
      </c>
      <c r="AO6" s="34">
        <f>DATE(Control!$C$9+INT((Control!$C$10+AO$3-2)/12),AO$5,1)</f>
        <v/>
      </c>
      <c r="AP6" s="34">
        <f>DATE(Control!$C$9+INT((Control!$C$10+AP$3-2)/12),AP$5,1)</f>
        <v/>
      </c>
      <c r="AQ6" s="34">
        <f>DATE(Control!$C$9+INT((Control!$C$10+AQ$3-2)/12),AQ$5,1)</f>
        <v/>
      </c>
      <c r="AR6" s="34">
        <f>DATE(Control!$C$9+INT((Control!$C$10+AR$3-2)/12),AR$5,1)</f>
        <v/>
      </c>
      <c r="AS6" s="34">
        <f>DATE(Control!$C$9+INT((Control!$C$10+AS$3-2)/12),AS$5,1)</f>
        <v/>
      </c>
      <c r="AT6" s="34">
        <f>DATE(Control!$C$9+INT((Control!$C$10+AT$3-2)/12),AT$5,1)</f>
        <v/>
      </c>
      <c r="AU6" s="34">
        <f>DATE(Control!$C$9+INT((Control!$C$10+AU$3-2)/12),AU$5,1)</f>
        <v/>
      </c>
      <c r="AV6" s="34">
        <f>DATE(Control!$C$9+INT((Control!$C$10+AV$3-2)/12),AV$5,1)</f>
        <v/>
      </c>
      <c r="AW6" s="34">
        <f>DATE(Control!$C$9+INT((Control!$C$10+AW$3-2)/12),AW$5,1)</f>
        <v/>
      </c>
      <c r="AX6" s="34">
        <f>DATE(Control!$C$9+INT((Control!$C$10+AX$3-2)/12),AX$5,1)</f>
        <v/>
      </c>
      <c r="AY6" s="34">
        <f>DATE(Control!$C$9+INT((Control!$C$10+AY$3-2)/12),AY$5,1)</f>
        <v/>
      </c>
      <c r="AZ6" s="34">
        <f>DATE(Control!$C$9+INT((Control!$C$10+AZ$3-2)/12),AZ$5,1)</f>
        <v/>
      </c>
      <c r="BA6" s="34">
        <f>DATE(Control!$C$9+INT((Control!$C$10+BA$3-2)/12),BA$5,1)</f>
        <v/>
      </c>
      <c r="BB6" s="34">
        <f>DATE(Control!$C$9+INT((Control!$C$10+BB$3-2)/12),BB$5,1)</f>
        <v/>
      </c>
      <c r="BC6" s="34">
        <f>DATE(Control!$C$9+INT((Control!$C$10+BC$3-2)/12),BC$5,1)</f>
        <v/>
      </c>
      <c r="BD6" s="34">
        <f>DATE(Control!$C$9+INT((Control!$C$10+BD$3-2)/12),BD$5,1)</f>
        <v/>
      </c>
      <c r="BE6" s="34">
        <f>DATE(Control!$C$9+INT((Control!$C$10+BE$3-2)/12),BE$5,1)</f>
        <v/>
      </c>
      <c r="BF6" s="34">
        <f>DATE(Control!$C$9+INT((Control!$C$10+BF$3-2)/12),BF$5,1)</f>
        <v/>
      </c>
      <c r="BG6" s="34">
        <f>DATE(Control!$C$9+INT((Control!$C$10+BG$3-2)/12),BG$5,1)</f>
        <v/>
      </c>
      <c r="BH6" s="34">
        <f>DATE(Control!$C$9+INT((Control!$C$10+BH$3-2)/12),BH$5,1)</f>
        <v/>
      </c>
      <c r="BI6" s="34">
        <f>DATE(Control!$C$9+INT((Control!$C$10+BI$3-2)/12),BI$5,1)</f>
        <v/>
      </c>
      <c r="BJ6" s="34">
        <f>DATE(Control!$C$9+INT((Control!$C$10+BJ$3-2)/12),BJ$5,1)</f>
        <v/>
      </c>
      <c r="BK6" s="34">
        <f>DATE(Control!$C$9+INT((Control!$C$10+BK$3-2)/12),BK$5,1)</f>
        <v/>
      </c>
      <c r="BL6" s="34">
        <f>DATE(Control!$C$9+INT((Control!$C$10+BL$3-2)/12),BL$5,1)</f>
        <v/>
      </c>
      <c r="BM6" s="34">
        <f>DATE(Control!$C$9+INT((Control!$C$10+BM$3-2)/12),BM$5,1)</f>
        <v/>
      </c>
      <c r="BN6" s="34">
        <f>DATE(Control!$C$9+INT((Control!$C$10+BN$3-2)/12),BN$5,1)</f>
        <v/>
      </c>
      <c r="BO6" s="34">
        <f>DATE(Control!$C$9+INT((Control!$C$10+BO$3-2)/12),BO$5,1)</f>
        <v/>
      </c>
      <c r="BP6" s="34">
        <f>DATE(Control!$C$9+INT((Control!$C$10+BP$3-2)/12),BP$5,1)</f>
        <v/>
      </c>
      <c r="BQ6" s="34">
        <f>DATE(Control!$C$9+INT((Control!$C$10+BQ$3-2)/12),BQ$5,1)</f>
        <v/>
      </c>
      <c r="BR6" s="34">
        <f>DATE(Control!$C$9+INT((Control!$C$10+BR$3-2)/12),BR$5,1)</f>
        <v/>
      </c>
      <c r="BS6" s="34">
        <f>DATE(Control!$C$9+INT((Control!$C$10+BS$3-2)/12),BS$5,1)</f>
        <v/>
      </c>
      <c r="BT6" s="34">
        <f>DATE(Control!$C$9+INT((Control!$C$10+BT$3-2)/12),BT$5,1)</f>
        <v/>
      </c>
      <c r="BU6" s="34">
        <f>DATE(Control!$C$9+INT((Control!$C$10+BU$3-2)/12),BU$5,1)</f>
        <v/>
      </c>
      <c r="BV6" s="34">
        <f>DATE(Control!$C$9+INT((Control!$C$10+BV$3-2)/12),BV$5,1)</f>
        <v/>
      </c>
      <c r="BW6" s="34">
        <f>DATE(Control!$C$9+INT((Control!$C$10+BW$3-2)/12),BW$5,1)</f>
        <v/>
      </c>
      <c r="BX6" s="34">
        <f>DATE(Control!$C$9+INT((Control!$C$10+BX$3-2)/12),BX$5,1)</f>
        <v/>
      </c>
      <c r="BY6" s="34">
        <f>DATE(Control!$C$9+INT((Control!$C$10+BY$3-2)/12),BY$5,1)</f>
        <v/>
      </c>
      <c r="BZ6" s="34">
        <f>DATE(Control!$C$9+INT((Control!$C$10+BZ$3-2)/12),BZ$5,1)</f>
        <v/>
      </c>
      <c r="CA6" s="34">
        <f>DATE(Control!$C$9+INT((Control!$C$10+CA$3-2)/12),CA$5,1)</f>
        <v/>
      </c>
      <c r="CB6" s="34">
        <f>DATE(Control!$C$9+INT((Control!$C$10+CB$3-2)/12),CB$5,1)</f>
        <v/>
      </c>
      <c r="CC6" s="34">
        <f>DATE(Control!$C$9+INT((Control!$C$10+CC$3-2)/12),CC$5,1)</f>
        <v/>
      </c>
      <c r="CD6" s="34">
        <f>DATE(Control!$C$9+INT((Control!$C$10+CD$3-2)/12),CD$5,1)</f>
        <v/>
      </c>
      <c r="CE6" s="34">
        <f>DATE(Control!$C$9+INT((Control!$C$10+CE$3-2)/12),CE$5,1)</f>
        <v/>
      </c>
      <c r="CF6" s="34">
        <f>DATE(Control!$C$9+INT((Control!$C$10+CF$3-2)/12),CF$5,1)</f>
        <v/>
      </c>
      <c r="CG6" s="34">
        <f>DATE(Control!$C$9+INT((Control!$C$10+CG$3-2)/12),CG$5,1)</f>
        <v/>
      </c>
      <c r="CH6" s="34">
        <f>DATE(Control!$C$9+INT((Control!$C$10+CH$3-2)/12),CH$5,1)</f>
        <v/>
      </c>
      <c r="CI6" s="34">
        <f>DATE(Control!$C$9+INT((Control!$C$10+CI$3-2)/12),CI$5,1)</f>
        <v/>
      </c>
      <c r="CJ6" s="34">
        <f>DATE(Control!$C$9+INT((Control!$C$10+CJ$3-2)/12),CJ$5,1)</f>
        <v/>
      </c>
      <c r="CK6" s="34">
        <f>DATE(Control!$C$9+INT((Control!$C$10+CK$3-2)/12),CK$5,1)</f>
        <v/>
      </c>
      <c r="CL6" s="34">
        <f>DATE(Control!$C$9+INT((Control!$C$10+CL$3-2)/12),CL$5,1)</f>
        <v/>
      </c>
      <c r="CM6" s="34">
        <f>DATE(Control!$C$9+INT((Control!$C$10+CM$3-2)/12),CM$5,1)</f>
        <v/>
      </c>
      <c r="CN6" s="34">
        <f>DATE(Control!$C$9+INT((Control!$C$10+CN$3-2)/12),CN$5,1)</f>
        <v/>
      </c>
      <c r="CO6" s="34">
        <f>DATE(Control!$C$9+INT((Control!$C$10+CO$3-2)/12),CO$5,1)</f>
        <v/>
      </c>
      <c r="CP6" s="34">
        <f>DATE(Control!$C$9+INT((Control!$C$10+CP$3-2)/12),CP$5,1)</f>
        <v/>
      </c>
      <c r="CQ6" s="34">
        <f>DATE(Control!$C$9+INT((Control!$C$10+CQ$3-2)/12),CQ$5,1)</f>
        <v/>
      </c>
      <c r="CR6" s="34">
        <f>DATE(Control!$C$9+INT((Control!$C$10+CR$3-2)/12),CR$5,1)</f>
        <v/>
      </c>
      <c r="CS6" s="34">
        <f>DATE(Control!$C$9+INT((Control!$C$10+CS$3-2)/12),CS$5,1)</f>
        <v/>
      </c>
      <c r="CT6" s="34">
        <f>DATE(Control!$C$9+INT((Control!$C$10+CT$3-2)/12),CT$5,1)</f>
        <v/>
      </c>
      <c r="CU6" s="34">
        <f>DATE(Control!$C$9+INT((Control!$C$10+CU$3-2)/12),CU$5,1)</f>
        <v/>
      </c>
      <c r="CV6" s="34">
        <f>DATE(Control!$C$9+INT((Control!$C$10+CV$3-2)/12),CV$5,1)</f>
        <v/>
      </c>
      <c r="CW6" s="34">
        <f>DATE(Control!$C$9+INT((Control!$C$10+CW$3-2)/12),CW$5,1)</f>
        <v/>
      </c>
      <c r="CX6" s="34">
        <f>DATE(Control!$C$9+INT((Control!$C$10+CX$3-2)/12),CX$5,1)</f>
        <v/>
      </c>
      <c r="CY6" s="34">
        <f>DATE(Control!$C$9+INT((Control!$C$10+CY$3-2)/12),CY$5,1)</f>
        <v/>
      </c>
      <c r="CZ6" s="34">
        <f>DATE(Control!$C$9+INT((Control!$C$10+CZ$3-2)/12),CZ$5,1)</f>
        <v/>
      </c>
      <c r="DA6" s="34">
        <f>DATE(Control!$C$9+INT((Control!$C$10+DA$3-2)/12),DA$5,1)</f>
        <v/>
      </c>
      <c r="DB6" s="34">
        <f>DATE(Control!$C$9+INT((Control!$C$10+DB$3-2)/12),DB$5,1)</f>
        <v/>
      </c>
      <c r="DC6" s="34">
        <f>DATE(Control!$C$9+INT((Control!$C$10+DC$3-2)/12),DC$5,1)</f>
        <v/>
      </c>
      <c r="DD6" s="34">
        <f>DATE(Control!$C$9+INT((Control!$C$10+DD$3-2)/12),DD$5,1)</f>
        <v/>
      </c>
      <c r="DE6" s="34">
        <f>DATE(Control!$C$9+INT((Control!$C$10+DE$3-2)/12),DE$5,1)</f>
        <v/>
      </c>
      <c r="DF6" s="34">
        <f>DATE(Control!$C$9+INT((Control!$C$10+DF$3-2)/12),DF$5,1)</f>
        <v/>
      </c>
      <c r="DG6" s="34">
        <f>DATE(Control!$C$9+INT((Control!$C$10+DG$3-2)/12),DG$5,1)</f>
        <v/>
      </c>
      <c r="DH6" s="34">
        <f>DATE(Control!$C$9+INT((Control!$C$10+DH$3-2)/12),DH$5,1)</f>
        <v/>
      </c>
      <c r="DI6" s="34">
        <f>DATE(Control!$C$9+INT((Control!$C$10+DI$3-2)/12),DI$5,1)</f>
        <v/>
      </c>
      <c r="DJ6" s="34">
        <f>DATE(Control!$C$9+INT((Control!$C$10+DJ$3-2)/12),DJ$5,1)</f>
        <v/>
      </c>
      <c r="DK6" s="34">
        <f>DATE(Control!$C$9+INT((Control!$C$10+DK$3-2)/12),DK$5,1)</f>
        <v/>
      </c>
      <c r="DL6" s="34">
        <f>DATE(Control!$C$9+INT((Control!$C$10+DL$3-2)/12),DL$5,1)</f>
        <v/>
      </c>
      <c r="DM6" s="34">
        <f>DATE(Control!$C$9+INT((Control!$C$10+DM$3-2)/12),DM$5,1)</f>
        <v/>
      </c>
      <c r="DN6" s="34">
        <f>DATE(Control!$C$9+INT((Control!$C$10+DN$3-2)/12),DN$5,1)</f>
        <v/>
      </c>
      <c r="DO6" s="34">
        <f>DATE(Control!$C$9+INT((Control!$C$10+DO$3-2)/12),DO$5,1)</f>
        <v/>
      </c>
      <c r="DP6" s="34">
        <f>DATE(Control!$C$9+INT((Control!$C$10+DP$3-2)/12),DP$5,1)</f>
        <v/>
      </c>
      <c r="DQ6" s="34">
        <f>DATE(Control!$C$9+INT((Control!$C$10+DQ$3-2)/12),DQ$5,1)</f>
        <v/>
      </c>
      <c r="DR6" s="34">
        <f>DATE(Control!$C$9+INT((Control!$C$10+DR$3-2)/12),DR$5,1)</f>
        <v/>
      </c>
      <c r="DS6" s="34">
        <f>DATE(Control!$C$9+INT((Control!$C$10+DS$3-2)/12),DS$5,1)</f>
        <v/>
      </c>
    </row>
    <row r="8">
      <c r="A8" s="11" t="n"/>
      <c r="B8" s="12" t="inlineStr">
        <is>
          <t>Sales (accrual)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  <c r="AR8" s="11" t="n"/>
      <c r="AS8" s="11" t="n"/>
      <c r="AT8" s="11" t="n"/>
      <c r="AU8" s="11" t="n"/>
      <c r="AV8" s="11" t="n"/>
      <c r="AW8" s="11" t="n"/>
      <c r="AX8" s="11" t="n"/>
      <c r="AY8" s="11" t="n"/>
      <c r="AZ8" s="11" t="n"/>
      <c r="BA8" s="11" t="n"/>
      <c r="BB8" s="11" t="n"/>
      <c r="BC8" s="11" t="n"/>
      <c r="BD8" s="11" t="n"/>
      <c r="BE8" s="11" t="n"/>
      <c r="BF8" s="11" t="n"/>
      <c r="BG8" s="11" t="n"/>
      <c r="BH8" s="11" t="n"/>
      <c r="BI8" s="11" t="n"/>
      <c r="BJ8" s="11" t="n"/>
      <c r="BK8" s="11" t="n"/>
      <c r="BL8" s="11" t="n"/>
      <c r="BM8" s="11" t="n"/>
      <c r="BN8" s="11" t="n"/>
      <c r="BO8" s="11" t="n"/>
      <c r="BP8" s="11" t="n"/>
      <c r="BQ8" s="11" t="n"/>
      <c r="BR8" s="11" t="n"/>
      <c r="BS8" s="11" t="n"/>
      <c r="BT8" s="11" t="n"/>
      <c r="BU8" s="11" t="n"/>
      <c r="BV8" s="11" t="n"/>
      <c r="BW8" s="11" t="n"/>
      <c r="BX8" s="11" t="n"/>
      <c r="BY8" s="11" t="n"/>
      <c r="BZ8" s="11" t="n"/>
      <c r="CA8" s="11" t="n"/>
      <c r="CB8" s="11" t="n"/>
      <c r="CC8" s="11" t="n"/>
      <c r="CD8" s="11" t="n"/>
      <c r="CE8" s="11" t="n"/>
      <c r="CF8" s="11" t="n"/>
      <c r="CG8" s="11" t="n"/>
      <c r="CH8" s="11" t="n"/>
      <c r="CI8" s="11" t="n"/>
      <c r="CJ8" s="11" t="n"/>
      <c r="CK8" s="11" t="n"/>
      <c r="CL8" s="11" t="n"/>
      <c r="CM8" s="11" t="n"/>
      <c r="CN8" s="11" t="n"/>
      <c r="CO8" s="11" t="n"/>
      <c r="CP8" s="11" t="n"/>
      <c r="CQ8" s="11" t="n"/>
      <c r="CR8" s="11" t="n"/>
      <c r="CS8" s="11" t="n"/>
      <c r="CT8" s="11" t="n"/>
      <c r="CU8" s="11" t="n"/>
      <c r="CV8" s="11" t="n"/>
      <c r="CW8" s="11" t="n"/>
      <c r="CX8" s="11" t="n"/>
      <c r="CY8" s="11" t="n"/>
      <c r="CZ8" s="11" t="n"/>
      <c r="DA8" s="11" t="n"/>
      <c r="DB8" s="11" t="n"/>
      <c r="DC8" s="11" t="n"/>
      <c r="DD8" s="11" t="n"/>
      <c r="DE8" s="11" t="n"/>
      <c r="DF8" s="11" t="n"/>
      <c r="DG8" s="11" t="n"/>
      <c r="DH8" s="11" t="n"/>
      <c r="DI8" s="11" t="n"/>
      <c r="DJ8" s="11" t="n"/>
      <c r="DK8" s="11" t="n"/>
      <c r="DL8" s="11" t="n"/>
      <c r="DM8" s="11" t="n"/>
      <c r="DN8" s="11" t="n"/>
      <c r="DO8" s="11" t="n"/>
      <c r="DP8" s="11" t="n"/>
      <c r="DQ8" s="11" t="n"/>
      <c r="DR8" s="11" t="n"/>
      <c r="DS8" s="11" t="n"/>
    </row>
    <row r="9">
      <c r="A9" s="2" t="inlineStr">
        <is>
          <t>CF_AVO</t>
        </is>
      </c>
      <c r="B9" s="6" t="inlineStr">
        <is>
          <t>Fruit: Avocado (grafted)</t>
        </is>
      </c>
      <c r="C9" s="2" t="inlineStr">
        <is>
          <t>RWF</t>
        </is>
      </c>
      <c r="D9" s="25">
        <f>INDEX(Trees!$D$14:$M$14,1,D$4)*INDEX(Curves!$D$15:$O$15,1,D$5)</f>
        <v/>
      </c>
      <c r="E9" s="25">
        <f>INDEX(Trees!$D$14:$M$14,1,E$4)*INDEX(Curves!$D$15:$O$15,1,E$5)</f>
        <v/>
      </c>
      <c r="F9" s="25">
        <f>INDEX(Trees!$D$14:$M$14,1,F$4)*INDEX(Curves!$D$15:$O$15,1,F$5)</f>
        <v/>
      </c>
      <c r="G9" s="25">
        <f>INDEX(Trees!$D$14:$M$14,1,G$4)*INDEX(Curves!$D$15:$O$15,1,G$5)</f>
        <v/>
      </c>
      <c r="H9" s="25">
        <f>INDEX(Trees!$D$14:$M$14,1,H$4)*INDEX(Curves!$D$15:$O$15,1,H$5)</f>
        <v/>
      </c>
      <c r="I9" s="25">
        <f>INDEX(Trees!$D$14:$M$14,1,I$4)*INDEX(Curves!$D$15:$O$15,1,I$5)</f>
        <v/>
      </c>
      <c r="J9" s="25">
        <f>INDEX(Trees!$D$14:$M$14,1,J$4)*INDEX(Curves!$D$15:$O$15,1,J$5)</f>
        <v/>
      </c>
      <c r="K9" s="25">
        <f>INDEX(Trees!$D$14:$M$14,1,K$4)*INDEX(Curves!$D$15:$O$15,1,K$5)</f>
        <v/>
      </c>
      <c r="L9" s="25">
        <f>INDEX(Trees!$D$14:$M$14,1,L$4)*INDEX(Curves!$D$15:$O$15,1,L$5)</f>
        <v/>
      </c>
      <c r="M9" s="25">
        <f>INDEX(Trees!$D$14:$M$14,1,M$4)*INDEX(Curves!$D$15:$O$15,1,M$5)</f>
        <v/>
      </c>
      <c r="N9" s="25">
        <f>INDEX(Trees!$D$14:$M$14,1,N$4)*INDEX(Curves!$D$15:$O$15,1,N$5)</f>
        <v/>
      </c>
      <c r="O9" s="25">
        <f>INDEX(Trees!$D$14:$M$14,1,O$4)*INDEX(Curves!$D$15:$O$15,1,O$5)</f>
        <v/>
      </c>
      <c r="P9" s="25">
        <f>INDEX(Trees!$D$14:$M$14,1,P$4)*INDEX(Curves!$D$15:$O$15,1,P$5)</f>
        <v/>
      </c>
      <c r="Q9" s="25">
        <f>INDEX(Trees!$D$14:$M$14,1,Q$4)*INDEX(Curves!$D$15:$O$15,1,Q$5)</f>
        <v/>
      </c>
      <c r="R9" s="25">
        <f>INDEX(Trees!$D$14:$M$14,1,R$4)*INDEX(Curves!$D$15:$O$15,1,R$5)</f>
        <v/>
      </c>
      <c r="S9" s="25">
        <f>INDEX(Trees!$D$14:$M$14,1,S$4)*INDEX(Curves!$D$15:$O$15,1,S$5)</f>
        <v/>
      </c>
      <c r="T9" s="25">
        <f>INDEX(Trees!$D$14:$M$14,1,T$4)*INDEX(Curves!$D$15:$O$15,1,T$5)</f>
        <v/>
      </c>
      <c r="U9" s="25">
        <f>INDEX(Trees!$D$14:$M$14,1,U$4)*INDEX(Curves!$D$15:$O$15,1,U$5)</f>
        <v/>
      </c>
      <c r="V9" s="25">
        <f>INDEX(Trees!$D$14:$M$14,1,V$4)*INDEX(Curves!$D$15:$O$15,1,V$5)</f>
        <v/>
      </c>
      <c r="W9" s="25">
        <f>INDEX(Trees!$D$14:$M$14,1,W$4)*INDEX(Curves!$D$15:$O$15,1,W$5)</f>
        <v/>
      </c>
      <c r="X9" s="25">
        <f>INDEX(Trees!$D$14:$M$14,1,X$4)*INDEX(Curves!$D$15:$O$15,1,X$5)</f>
        <v/>
      </c>
      <c r="Y9" s="25">
        <f>INDEX(Trees!$D$14:$M$14,1,Y$4)*INDEX(Curves!$D$15:$O$15,1,Y$5)</f>
        <v/>
      </c>
      <c r="Z9" s="25">
        <f>INDEX(Trees!$D$14:$M$14,1,Z$4)*INDEX(Curves!$D$15:$O$15,1,Z$5)</f>
        <v/>
      </c>
      <c r="AA9" s="25">
        <f>INDEX(Trees!$D$14:$M$14,1,AA$4)*INDEX(Curves!$D$15:$O$15,1,AA$5)</f>
        <v/>
      </c>
      <c r="AB9" s="25">
        <f>INDEX(Trees!$D$14:$M$14,1,AB$4)*INDEX(Curves!$D$15:$O$15,1,AB$5)</f>
        <v/>
      </c>
      <c r="AC9" s="25">
        <f>INDEX(Trees!$D$14:$M$14,1,AC$4)*INDEX(Curves!$D$15:$O$15,1,AC$5)</f>
        <v/>
      </c>
      <c r="AD9" s="25">
        <f>INDEX(Trees!$D$14:$M$14,1,AD$4)*INDEX(Curves!$D$15:$O$15,1,AD$5)</f>
        <v/>
      </c>
      <c r="AE9" s="25">
        <f>INDEX(Trees!$D$14:$M$14,1,AE$4)*INDEX(Curves!$D$15:$O$15,1,AE$5)</f>
        <v/>
      </c>
      <c r="AF9" s="25">
        <f>INDEX(Trees!$D$14:$M$14,1,AF$4)*INDEX(Curves!$D$15:$O$15,1,AF$5)</f>
        <v/>
      </c>
      <c r="AG9" s="25">
        <f>INDEX(Trees!$D$14:$M$14,1,AG$4)*INDEX(Curves!$D$15:$O$15,1,AG$5)</f>
        <v/>
      </c>
      <c r="AH9" s="25">
        <f>INDEX(Trees!$D$14:$M$14,1,AH$4)*INDEX(Curves!$D$15:$O$15,1,AH$5)</f>
        <v/>
      </c>
      <c r="AI9" s="25">
        <f>INDEX(Trees!$D$14:$M$14,1,AI$4)*INDEX(Curves!$D$15:$O$15,1,AI$5)</f>
        <v/>
      </c>
      <c r="AJ9" s="25">
        <f>INDEX(Trees!$D$14:$M$14,1,AJ$4)*INDEX(Curves!$D$15:$O$15,1,AJ$5)</f>
        <v/>
      </c>
      <c r="AK9" s="25">
        <f>INDEX(Trees!$D$14:$M$14,1,AK$4)*INDEX(Curves!$D$15:$O$15,1,AK$5)</f>
        <v/>
      </c>
      <c r="AL9" s="25">
        <f>INDEX(Trees!$D$14:$M$14,1,AL$4)*INDEX(Curves!$D$15:$O$15,1,AL$5)</f>
        <v/>
      </c>
      <c r="AM9" s="25">
        <f>INDEX(Trees!$D$14:$M$14,1,AM$4)*INDEX(Curves!$D$15:$O$15,1,AM$5)</f>
        <v/>
      </c>
      <c r="AN9" s="25">
        <f>INDEX(Trees!$D$14:$M$14,1,AN$4)*INDEX(Curves!$D$15:$O$15,1,AN$5)</f>
        <v/>
      </c>
      <c r="AO9" s="25">
        <f>INDEX(Trees!$D$14:$M$14,1,AO$4)*INDEX(Curves!$D$15:$O$15,1,AO$5)</f>
        <v/>
      </c>
      <c r="AP9" s="25">
        <f>INDEX(Trees!$D$14:$M$14,1,AP$4)*INDEX(Curves!$D$15:$O$15,1,AP$5)</f>
        <v/>
      </c>
      <c r="AQ9" s="25">
        <f>INDEX(Trees!$D$14:$M$14,1,AQ$4)*INDEX(Curves!$D$15:$O$15,1,AQ$5)</f>
        <v/>
      </c>
      <c r="AR9" s="25">
        <f>INDEX(Trees!$D$14:$M$14,1,AR$4)*INDEX(Curves!$D$15:$O$15,1,AR$5)</f>
        <v/>
      </c>
      <c r="AS9" s="25">
        <f>INDEX(Trees!$D$14:$M$14,1,AS$4)*INDEX(Curves!$D$15:$O$15,1,AS$5)</f>
        <v/>
      </c>
      <c r="AT9" s="25">
        <f>INDEX(Trees!$D$14:$M$14,1,AT$4)*INDEX(Curves!$D$15:$O$15,1,AT$5)</f>
        <v/>
      </c>
      <c r="AU9" s="25">
        <f>INDEX(Trees!$D$14:$M$14,1,AU$4)*INDEX(Curves!$D$15:$O$15,1,AU$5)</f>
        <v/>
      </c>
      <c r="AV9" s="25">
        <f>INDEX(Trees!$D$14:$M$14,1,AV$4)*INDEX(Curves!$D$15:$O$15,1,AV$5)</f>
        <v/>
      </c>
      <c r="AW9" s="25">
        <f>INDEX(Trees!$D$14:$M$14,1,AW$4)*INDEX(Curves!$D$15:$O$15,1,AW$5)</f>
        <v/>
      </c>
      <c r="AX9" s="25">
        <f>INDEX(Trees!$D$14:$M$14,1,AX$4)*INDEX(Curves!$D$15:$O$15,1,AX$5)</f>
        <v/>
      </c>
      <c r="AY9" s="25">
        <f>INDEX(Trees!$D$14:$M$14,1,AY$4)*INDEX(Curves!$D$15:$O$15,1,AY$5)</f>
        <v/>
      </c>
      <c r="AZ9" s="25">
        <f>INDEX(Trees!$D$14:$M$14,1,AZ$4)*INDEX(Curves!$D$15:$O$15,1,AZ$5)</f>
        <v/>
      </c>
      <c r="BA9" s="25">
        <f>INDEX(Trees!$D$14:$M$14,1,BA$4)*INDEX(Curves!$D$15:$O$15,1,BA$5)</f>
        <v/>
      </c>
      <c r="BB9" s="25">
        <f>INDEX(Trees!$D$14:$M$14,1,BB$4)*INDEX(Curves!$D$15:$O$15,1,BB$5)</f>
        <v/>
      </c>
      <c r="BC9" s="25">
        <f>INDEX(Trees!$D$14:$M$14,1,BC$4)*INDEX(Curves!$D$15:$O$15,1,BC$5)</f>
        <v/>
      </c>
      <c r="BD9" s="25">
        <f>INDEX(Trees!$D$14:$M$14,1,BD$4)*INDEX(Curves!$D$15:$O$15,1,BD$5)</f>
        <v/>
      </c>
      <c r="BE9" s="25">
        <f>INDEX(Trees!$D$14:$M$14,1,BE$4)*INDEX(Curves!$D$15:$O$15,1,BE$5)</f>
        <v/>
      </c>
      <c r="BF9" s="25">
        <f>INDEX(Trees!$D$14:$M$14,1,BF$4)*INDEX(Curves!$D$15:$O$15,1,BF$5)</f>
        <v/>
      </c>
      <c r="BG9" s="25">
        <f>INDEX(Trees!$D$14:$M$14,1,BG$4)*INDEX(Curves!$D$15:$O$15,1,BG$5)</f>
        <v/>
      </c>
      <c r="BH9" s="25">
        <f>INDEX(Trees!$D$14:$M$14,1,BH$4)*INDEX(Curves!$D$15:$O$15,1,BH$5)</f>
        <v/>
      </c>
      <c r="BI9" s="25">
        <f>INDEX(Trees!$D$14:$M$14,1,BI$4)*INDEX(Curves!$D$15:$O$15,1,BI$5)</f>
        <v/>
      </c>
      <c r="BJ9" s="25">
        <f>INDEX(Trees!$D$14:$M$14,1,BJ$4)*INDEX(Curves!$D$15:$O$15,1,BJ$5)</f>
        <v/>
      </c>
      <c r="BK9" s="25">
        <f>INDEX(Trees!$D$14:$M$14,1,BK$4)*INDEX(Curves!$D$15:$O$15,1,BK$5)</f>
        <v/>
      </c>
      <c r="BL9" s="25">
        <f>INDEX(Trees!$D$14:$M$14,1,BL$4)*INDEX(Curves!$D$15:$O$15,1,BL$5)</f>
        <v/>
      </c>
      <c r="BM9" s="25">
        <f>INDEX(Trees!$D$14:$M$14,1,BM$4)*INDEX(Curves!$D$15:$O$15,1,BM$5)</f>
        <v/>
      </c>
      <c r="BN9" s="25">
        <f>INDEX(Trees!$D$14:$M$14,1,BN$4)*INDEX(Curves!$D$15:$O$15,1,BN$5)</f>
        <v/>
      </c>
      <c r="BO9" s="25">
        <f>INDEX(Trees!$D$14:$M$14,1,BO$4)*INDEX(Curves!$D$15:$O$15,1,BO$5)</f>
        <v/>
      </c>
      <c r="BP9" s="25">
        <f>INDEX(Trees!$D$14:$M$14,1,BP$4)*INDEX(Curves!$D$15:$O$15,1,BP$5)</f>
        <v/>
      </c>
      <c r="BQ9" s="25">
        <f>INDEX(Trees!$D$14:$M$14,1,BQ$4)*INDEX(Curves!$D$15:$O$15,1,BQ$5)</f>
        <v/>
      </c>
      <c r="BR9" s="25">
        <f>INDEX(Trees!$D$14:$M$14,1,BR$4)*INDEX(Curves!$D$15:$O$15,1,BR$5)</f>
        <v/>
      </c>
      <c r="BS9" s="25">
        <f>INDEX(Trees!$D$14:$M$14,1,BS$4)*INDEX(Curves!$D$15:$O$15,1,BS$5)</f>
        <v/>
      </c>
      <c r="BT9" s="25">
        <f>INDEX(Trees!$D$14:$M$14,1,BT$4)*INDEX(Curves!$D$15:$O$15,1,BT$5)</f>
        <v/>
      </c>
      <c r="BU9" s="25">
        <f>INDEX(Trees!$D$14:$M$14,1,BU$4)*INDEX(Curves!$D$15:$O$15,1,BU$5)</f>
        <v/>
      </c>
      <c r="BV9" s="25">
        <f>INDEX(Trees!$D$14:$M$14,1,BV$4)*INDEX(Curves!$D$15:$O$15,1,BV$5)</f>
        <v/>
      </c>
      <c r="BW9" s="25">
        <f>INDEX(Trees!$D$14:$M$14,1,BW$4)*INDEX(Curves!$D$15:$O$15,1,BW$5)</f>
        <v/>
      </c>
      <c r="BX9" s="25">
        <f>INDEX(Trees!$D$14:$M$14,1,BX$4)*INDEX(Curves!$D$15:$O$15,1,BX$5)</f>
        <v/>
      </c>
      <c r="BY9" s="25">
        <f>INDEX(Trees!$D$14:$M$14,1,BY$4)*INDEX(Curves!$D$15:$O$15,1,BY$5)</f>
        <v/>
      </c>
      <c r="BZ9" s="25">
        <f>INDEX(Trees!$D$14:$M$14,1,BZ$4)*INDEX(Curves!$D$15:$O$15,1,BZ$5)</f>
        <v/>
      </c>
      <c r="CA9" s="25">
        <f>INDEX(Trees!$D$14:$M$14,1,CA$4)*INDEX(Curves!$D$15:$O$15,1,CA$5)</f>
        <v/>
      </c>
      <c r="CB9" s="25">
        <f>INDEX(Trees!$D$14:$M$14,1,CB$4)*INDEX(Curves!$D$15:$O$15,1,CB$5)</f>
        <v/>
      </c>
      <c r="CC9" s="25">
        <f>INDEX(Trees!$D$14:$M$14,1,CC$4)*INDEX(Curves!$D$15:$O$15,1,CC$5)</f>
        <v/>
      </c>
      <c r="CD9" s="25">
        <f>INDEX(Trees!$D$14:$M$14,1,CD$4)*INDEX(Curves!$D$15:$O$15,1,CD$5)</f>
        <v/>
      </c>
      <c r="CE9" s="25">
        <f>INDEX(Trees!$D$14:$M$14,1,CE$4)*INDEX(Curves!$D$15:$O$15,1,CE$5)</f>
        <v/>
      </c>
      <c r="CF9" s="25">
        <f>INDEX(Trees!$D$14:$M$14,1,CF$4)*INDEX(Curves!$D$15:$O$15,1,CF$5)</f>
        <v/>
      </c>
      <c r="CG9" s="25">
        <f>INDEX(Trees!$D$14:$M$14,1,CG$4)*INDEX(Curves!$D$15:$O$15,1,CG$5)</f>
        <v/>
      </c>
      <c r="CH9" s="25">
        <f>INDEX(Trees!$D$14:$M$14,1,CH$4)*INDEX(Curves!$D$15:$O$15,1,CH$5)</f>
        <v/>
      </c>
      <c r="CI9" s="25">
        <f>INDEX(Trees!$D$14:$M$14,1,CI$4)*INDEX(Curves!$D$15:$O$15,1,CI$5)</f>
        <v/>
      </c>
      <c r="CJ9" s="25">
        <f>INDEX(Trees!$D$14:$M$14,1,CJ$4)*INDEX(Curves!$D$15:$O$15,1,CJ$5)</f>
        <v/>
      </c>
      <c r="CK9" s="25">
        <f>INDEX(Trees!$D$14:$M$14,1,CK$4)*INDEX(Curves!$D$15:$O$15,1,CK$5)</f>
        <v/>
      </c>
      <c r="CL9" s="25">
        <f>INDEX(Trees!$D$14:$M$14,1,CL$4)*INDEX(Curves!$D$15:$O$15,1,CL$5)</f>
        <v/>
      </c>
      <c r="CM9" s="25">
        <f>INDEX(Trees!$D$14:$M$14,1,CM$4)*INDEX(Curves!$D$15:$O$15,1,CM$5)</f>
        <v/>
      </c>
      <c r="CN9" s="25">
        <f>INDEX(Trees!$D$14:$M$14,1,CN$4)*INDEX(Curves!$D$15:$O$15,1,CN$5)</f>
        <v/>
      </c>
      <c r="CO9" s="25">
        <f>INDEX(Trees!$D$14:$M$14,1,CO$4)*INDEX(Curves!$D$15:$O$15,1,CO$5)</f>
        <v/>
      </c>
      <c r="CP9" s="25">
        <f>INDEX(Trees!$D$14:$M$14,1,CP$4)*INDEX(Curves!$D$15:$O$15,1,CP$5)</f>
        <v/>
      </c>
      <c r="CQ9" s="25">
        <f>INDEX(Trees!$D$14:$M$14,1,CQ$4)*INDEX(Curves!$D$15:$O$15,1,CQ$5)</f>
        <v/>
      </c>
      <c r="CR9" s="25">
        <f>INDEX(Trees!$D$14:$M$14,1,CR$4)*INDEX(Curves!$D$15:$O$15,1,CR$5)</f>
        <v/>
      </c>
      <c r="CS9" s="25">
        <f>INDEX(Trees!$D$14:$M$14,1,CS$4)*INDEX(Curves!$D$15:$O$15,1,CS$5)</f>
        <v/>
      </c>
      <c r="CT9" s="25">
        <f>INDEX(Trees!$D$14:$M$14,1,CT$4)*INDEX(Curves!$D$15:$O$15,1,CT$5)</f>
        <v/>
      </c>
      <c r="CU9" s="25">
        <f>INDEX(Trees!$D$14:$M$14,1,CU$4)*INDEX(Curves!$D$15:$O$15,1,CU$5)</f>
        <v/>
      </c>
      <c r="CV9" s="25">
        <f>INDEX(Trees!$D$14:$M$14,1,CV$4)*INDEX(Curves!$D$15:$O$15,1,CV$5)</f>
        <v/>
      </c>
      <c r="CW9" s="25">
        <f>INDEX(Trees!$D$14:$M$14,1,CW$4)*INDEX(Curves!$D$15:$O$15,1,CW$5)</f>
        <v/>
      </c>
      <c r="CX9" s="25">
        <f>INDEX(Trees!$D$14:$M$14,1,CX$4)*INDEX(Curves!$D$15:$O$15,1,CX$5)</f>
        <v/>
      </c>
      <c r="CY9" s="25">
        <f>INDEX(Trees!$D$14:$M$14,1,CY$4)*INDEX(Curves!$D$15:$O$15,1,CY$5)</f>
        <v/>
      </c>
      <c r="CZ9" s="25">
        <f>INDEX(Trees!$D$14:$M$14,1,CZ$4)*INDEX(Curves!$D$15:$O$15,1,CZ$5)</f>
        <v/>
      </c>
      <c r="DA9" s="25">
        <f>INDEX(Trees!$D$14:$M$14,1,DA$4)*INDEX(Curves!$D$15:$O$15,1,DA$5)</f>
        <v/>
      </c>
      <c r="DB9" s="25">
        <f>INDEX(Trees!$D$14:$M$14,1,DB$4)*INDEX(Curves!$D$15:$O$15,1,DB$5)</f>
        <v/>
      </c>
      <c r="DC9" s="25">
        <f>INDEX(Trees!$D$14:$M$14,1,DC$4)*INDEX(Curves!$D$15:$O$15,1,DC$5)</f>
        <v/>
      </c>
      <c r="DD9" s="25">
        <f>INDEX(Trees!$D$14:$M$14,1,DD$4)*INDEX(Curves!$D$15:$O$15,1,DD$5)</f>
        <v/>
      </c>
      <c r="DE9" s="25">
        <f>INDEX(Trees!$D$14:$M$14,1,DE$4)*INDEX(Curves!$D$15:$O$15,1,DE$5)</f>
        <v/>
      </c>
      <c r="DF9" s="25">
        <f>INDEX(Trees!$D$14:$M$14,1,DF$4)*INDEX(Curves!$D$15:$O$15,1,DF$5)</f>
        <v/>
      </c>
      <c r="DG9" s="25">
        <f>INDEX(Trees!$D$14:$M$14,1,DG$4)*INDEX(Curves!$D$15:$O$15,1,DG$5)</f>
        <v/>
      </c>
      <c r="DH9" s="25">
        <f>INDEX(Trees!$D$14:$M$14,1,DH$4)*INDEX(Curves!$D$15:$O$15,1,DH$5)</f>
        <v/>
      </c>
      <c r="DI9" s="25">
        <f>INDEX(Trees!$D$14:$M$14,1,DI$4)*INDEX(Curves!$D$15:$O$15,1,DI$5)</f>
        <v/>
      </c>
      <c r="DJ9" s="25">
        <f>INDEX(Trees!$D$14:$M$14,1,DJ$4)*INDEX(Curves!$D$15:$O$15,1,DJ$5)</f>
        <v/>
      </c>
      <c r="DK9" s="25">
        <f>INDEX(Trees!$D$14:$M$14,1,DK$4)*INDEX(Curves!$D$15:$O$15,1,DK$5)</f>
        <v/>
      </c>
      <c r="DL9" s="25">
        <f>INDEX(Trees!$D$14:$M$14,1,DL$4)*INDEX(Curves!$D$15:$O$15,1,DL$5)</f>
        <v/>
      </c>
      <c r="DM9" s="25">
        <f>INDEX(Trees!$D$14:$M$14,1,DM$4)*INDEX(Curves!$D$15:$O$15,1,DM$5)</f>
        <v/>
      </c>
      <c r="DN9" s="25">
        <f>INDEX(Trees!$D$14:$M$14,1,DN$4)*INDEX(Curves!$D$15:$O$15,1,DN$5)</f>
        <v/>
      </c>
      <c r="DO9" s="25">
        <f>INDEX(Trees!$D$14:$M$14,1,DO$4)*INDEX(Curves!$D$15:$O$15,1,DO$5)</f>
        <v/>
      </c>
      <c r="DP9" s="25">
        <f>INDEX(Trees!$D$14:$M$14,1,DP$4)*INDEX(Curves!$D$15:$O$15,1,DP$5)</f>
        <v/>
      </c>
      <c r="DQ9" s="25">
        <f>INDEX(Trees!$D$14:$M$14,1,DQ$4)*INDEX(Curves!$D$15:$O$15,1,DQ$5)</f>
        <v/>
      </c>
      <c r="DR9" s="25">
        <f>INDEX(Trees!$D$14:$M$14,1,DR$4)*INDEX(Curves!$D$15:$O$15,1,DR$5)</f>
        <v/>
      </c>
      <c r="DS9" s="25">
        <f>INDEX(Trees!$D$14:$M$14,1,DS$4)*INDEX(Curves!$D$15:$O$15,1,DS$5)</f>
        <v/>
      </c>
    </row>
    <row r="10">
      <c r="A10" s="2" t="inlineStr">
        <is>
          <t>CF_MAN</t>
        </is>
      </c>
      <c r="B10" s="6" t="inlineStr">
        <is>
          <t>Fruit: Mango (grafted)</t>
        </is>
      </c>
      <c r="C10" s="2" t="inlineStr">
        <is>
          <t>RWF</t>
        </is>
      </c>
      <c r="D10" s="25">
        <f>INDEX(Trees!$D$26:$M$26,1,D$4)*INDEX(Curves!$D$16:$O$16,1,D$5)</f>
        <v/>
      </c>
      <c r="E10" s="25">
        <f>INDEX(Trees!$D$26:$M$26,1,E$4)*INDEX(Curves!$D$16:$O$16,1,E$5)</f>
        <v/>
      </c>
      <c r="F10" s="25">
        <f>INDEX(Trees!$D$26:$M$26,1,F$4)*INDEX(Curves!$D$16:$O$16,1,F$5)</f>
        <v/>
      </c>
      <c r="G10" s="25">
        <f>INDEX(Trees!$D$26:$M$26,1,G$4)*INDEX(Curves!$D$16:$O$16,1,G$5)</f>
        <v/>
      </c>
      <c r="H10" s="25">
        <f>INDEX(Trees!$D$26:$M$26,1,H$4)*INDEX(Curves!$D$16:$O$16,1,H$5)</f>
        <v/>
      </c>
      <c r="I10" s="25">
        <f>INDEX(Trees!$D$26:$M$26,1,I$4)*INDEX(Curves!$D$16:$O$16,1,I$5)</f>
        <v/>
      </c>
      <c r="J10" s="25">
        <f>INDEX(Trees!$D$26:$M$26,1,J$4)*INDEX(Curves!$D$16:$O$16,1,J$5)</f>
        <v/>
      </c>
      <c r="K10" s="25">
        <f>INDEX(Trees!$D$26:$M$26,1,K$4)*INDEX(Curves!$D$16:$O$16,1,K$5)</f>
        <v/>
      </c>
      <c r="L10" s="25">
        <f>INDEX(Trees!$D$26:$M$26,1,L$4)*INDEX(Curves!$D$16:$O$16,1,L$5)</f>
        <v/>
      </c>
      <c r="M10" s="25">
        <f>INDEX(Trees!$D$26:$M$26,1,M$4)*INDEX(Curves!$D$16:$O$16,1,M$5)</f>
        <v/>
      </c>
      <c r="N10" s="25">
        <f>INDEX(Trees!$D$26:$M$26,1,N$4)*INDEX(Curves!$D$16:$O$16,1,N$5)</f>
        <v/>
      </c>
      <c r="O10" s="25">
        <f>INDEX(Trees!$D$26:$M$26,1,O$4)*INDEX(Curves!$D$16:$O$16,1,O$5)</f>
        <v/>
      </c>
      <c r="P10" s="25">
        <f>INDEX(Trees!$D$26:$M$26,1,P$4)*INDEX(Curves!$D$16:$O$16,1,P$5)</f>
        <v/>
      </c>
      <c r="Q10" s="25">
        <f>INDEX(Trees!$D$26:$M$26,1,Q$4)*INDEX(Curves!$D$16:$O$16,1,Q$5)</f>
        <v/>
      </c>
      <c r="R10" s="25">
        <f>INDEX(Trees!$D$26:$M$26,1,R$4)*INDEX(Curves!$D$16:$O$16,1,R$5)</f>
        <v/>
      </c>
      <c r="S10" s="25">
        <f>INDEX(Trees!$D$26:$M$26,1,S$4)*INDEX(Curves!$D$16:$O$16,1,S$5)</f>
        <v/>
      </c>
      <c r="T10" s="25">
        <f>INDEX(Trees!$D$26:$M$26,1,T$4)*INDEX(Curves!$D$16:$O$16,1,T$5)</f>
        <v/>
      </c>
      <c r="U10" s="25">
        <f>INDEX(Trees!$D$26:$M$26,1,U$4)*INDEX(Curves!$D$16:$O$16,1,U$5)</f>
        <v/>
      </c>
      <c r="V10" s="25">
        <f>INDEX(Trees!$D$26:$M$26,1,V$4)*INDEX(Curves!$D$16:$O$16,1,V$5)</f>
        <v/>
      </c>
      <c r="W10" s="25">
        <f>INDEX(Trees!$D$26:$M$26,1,W$4)*INDEX(Curves!$D$16:$O$16,1,W$5)</f>
        <v/>
      </c>
      <c r="X10" s="25">
        <f>INDEX(Trees!$D$26:$M$26,1,X$4)*INDEX(Curves!$D$16:$O$16,1,X$5)</f>
        <v/>
      </c>
      <c r="Y10" s="25">
        <f>INDEX(Trees!$D$26:$M$26,1,Y$4)*INDEX(Curves!$D$16:$O$16,1,Y$5)</f>
        <v/>
      </c>
      <c r="Z10" s="25">
        <f>INDEX(Trees!$D$26:$M$26,1,Z$4)*INDEX(Curves!$D$16:$O$16,1,Z$5)</f>
        <v/>
      </c>
      <c r="AA10" s="25">
        <f>INDEX(Trees!$D$26:$M$26,1,AA$4)*INDEX(Curves!$D$16:$O$16,1,AA$5)</f>
        <v/>
      </c>
      <c r="AB10" s="25">
        <f>INDEX(Trees!$D$26:$M$26,1,AB$4)*INDEX(Curves!$D$16:$O$16,1,AB$5)</f>
        <v/>
      </c>
      <c r="AC10" s="25">
        <f>INDEX(Trees!$D$26:$M$26,1,AC$4)*INDEX(Curves!$D$16:$O$16,1,AC$5)</f>
        <v/>
      </c>
      <c r="AD10" s="25">
        <f>INDEX(Trees!$D$26:$M$26,1,AD$4)*INDEX(Curves!$D$16:$O$16,1,AD$5)</f>
        <v/>
      </c>
      <c r="AE10" s="25">
        <f>INDEX(Trees!$D$26:$M$26,1,AE$4)*INDEX(Curves!$D$16:$O$16,1,AE$5)</f>
        <v/>
      </c>
      <c r="AF10" s="25">
        <f>INDEX(Trees!$D$26:$M$26,1,AF$4)*INDEX(Curves!$D$16:$O$16,1,AF$5)</f>
        <v/>
      </c>
      <c r="AG10" s="25">
        <f>INDEX(Trees!$D$26:$M$26,1,AG$4)*INDEX(Curves!$D$16:$O$16,1,AG$5)</f>
        <v/>
      </c>
      <c r="AH10" s="25">
        <f>INDEX(Trees!$D$26:$M$26,1,AH$4)*INDEX(Curves!$D$16:$O$16,1,AH$5)</f>
        <v/>
      </c>
      <c r="AI10" s="25">
        <f>INDEX(Trees!$D$26:$M$26,1,AI$4)*INDEX(Curves!$D$16:$O$16,1,AI$5)</f>
        <v/>
      </c>
      <c r="AJ10" s="25">
        <f>INDEX(Trees!$D$26:$M$26,1,AJ$4)*INDEX(Curves!$D$16:$O$16,1,AJ$5)</f>
        <v/>
      </c>
      <c r="AK10" s="25">
        <f>INDEX(Trees!$D$26:$M$26,1,AK$4)*INDEX(Curves!$D$16:$O$16,1,AK$5)</f>
        <v/>
      </c>
      <c r="AL10" s="25">
        <f>INDEX(Trees!$D$26:$M$26,1,AL$4)*INDEX(Curves!$D$16:$O$16,1,AL$5)</f>
        <v/>
      </c>
      <c r="AM10" s="25">
        <f>INDEX(Trees!$D$26:$M$26,1,AM$4)*INDEX(Curves!$D$16:$O$16,1,AM$5)</f>
        <v/>
      </c>
      <c r="AN10" s="25">
        <f>INDEX(Trees!$D$26:$M$26,1,AN$4)*INDEX(Curves!$D$16:$O$16,1,AN$5)</f>
        <v/>
      </c>
      <c r="AO10" s="25">
        <f>INDEX(Trees!$D$26:$M$26,1,AO$4)*INDEX(Curves!$D$16:$O$16,1,AO$5)</f>
        <v/>
      </c>
      <c r="AP10" s="25">
        <f>INDEX(Trees!$D$26:$M$26,1,AP$4)*INDEX(Curves!$D$16:$O$16,1,AP$5)</f>
        <v/>
      </c>
      <c r="AQ10" s="25">
        <f>INDEX(Trees!$D$26:$M$26,1,AQ$4)*INDEX(Curves!$D$16:$O$16,1,AQ$5)</f>
        <v/>
      </c>
      <c r="AR10" s="25">
        <f>INDEX(Trees!$D$26:$M$26,1,AR$4)*INDEX(Curves!$D$16:$O$16,1,AR$5)</f>
        <v/>
      </c>
      <c r="AS10" s="25">
        <f>INDEX(Trees!$D$26:$M$26,1,AS$4)*INDEX(Curves!$D$16:$O$16,1,AS$5)</f>
        <v/>
      </c>
      <c r="AT10" s="25">
        <f>INDEX(Trees!$D$26:$M$26,1,AT$4)*INDEX(Curves!$D$16:$O$16,1,AT$5)</f>
        <v/>
      </c>
      <c r="AU10" s="25">
        <f>INDEX(Trees!$D$26:$M$26,1,AU$4)*INDEX(Curves!$D$16:$O$16,1,AU$5)</f>
        <v/>
      </c>
      <c r="AV10" s="25">
        <f>INDEX(Trees!$D$26:$M$26,1,AV$4)*INDEX(Curves!$D$16:$O$16,1,AV$5)</f>
        <v/>
      </c>
      <c r="AW10" s="25">
        <f>INDEX(Trees!$D$26:$M$26,1,AW$4)*INDEX(Curves!$D$16:$O$16,1,AW$5)</f>
        <v/>
      </c>
      <c r="AX10" s="25">
        <f>INDEX(Trees!$D$26:$M$26,1,AX$4)*INDEX(Curves!$D$16:$O$16,1,AX$5)</f>
        <v/>
      </c>
      <c r="AY10" s="25">
        <f>INDEX(Trees!$D$26:$M$26,1,AY$4)*INDEX(Curves!$D$16:$O$16,1,AY$5)</f>
        <v/>
      </c>
      <c r="AZ10" s="25">
        <f>INDEX(Trees!$D$26:$M$26,1,AZ$4)*INDEX(Curves!$D$16:$O$16,1,AZ$5)</f>
        <v/>
      </c>
      <c r="BA10" s="25">
        <f>INDEX(Trees!$D$26:$M$26,1,BA$4)*INDEX(Curves!$D$16:$O$16,1,BA$5)</f>
        <v/>
      </c>
      <c r="BB10" s="25">
        <f>INDEX(Trees!$D$26:$M$26,1,BB$4)*INDEX(Curves!$D$16:$O$16,1,BB$5)</f>
        <v/>
      </c>
      <c r="BC10" s="25">
        <f>INDEX(Trees!$D$26:$M$26,1,BC$4)*INDEX(Curves!$D$16:$O$16,1,BC$5)</f>
        <v/>
      </c>
      <c r="BD10" s="25">
        <f>INDEX(Trees!$D$26:$M$26,1,BD$4)*INDEX(Curves!$D$16:$O$16,1,BD$5)</f>
        <v/>
      </c>
      <c r="BE10" s="25">
        <f>INDEX(Trees!$D$26:$M$26,1,BE$4)*INDEX(Curves!$D$16:$O$16,1,BE$5)</f>
        <v/>
      </c>
      <c r="BF10" s="25">
        <f>INDEX(Trees!$D$26:$M$26,1,BF$4)*INDEX(Curves!$D$16:$O$16,1,BF$5)</f>
        <v/>
      </c>
      <c r="BG10" s="25">
        <f>INDEX(Trees!$D$26:$M$26,1,BG$4)*INDEX(Curves!$D$16:$O$16,1,BG$5)</f>
        <v/>
      </c>
      <c r="BH10" s="25">
        <f>INDEX(Trees!$D$26:$M$26,1,BH$4)*INDEX(Curves!$D$16:$O$16,1,BH$5)</f>
        <v/>
      </c>
      <c r="BI10" s="25">
        <f>INDEX(Trees!$D$26:$M$26,1,BI$4)*INDEX(Curves!$D$16:$O$16,1,BI$5)</f>
        <v/>
      </c>
      <c r="BJ10" s="25">
        <f>INDEX(Trees!$D$26:$M$26,1,BJ$4)*INDEX(Curves!$D$16:$O$16,1,BJ$5)</f>
        <v/>
      </c>
      <c r="BK10" s="25">
        <f>INDEX(Trees!$D$26:$M$26,1,BK$4)*INDEX(Curves!$D$16:$O$16,1,BK$5)</f>
        <v/>
      </c>
      <c r="BL10" s="25">
        <f>INDEX(Trees!$D$26:$M$26,1,BL$4)*INDEX(Curves!$D$16:$O$16,1,BL$5)</f>
        <v/>
      </c>
      <c r="BM10" s="25">
        <f>INDEX(Trees!$D$26:$M$26,1,BM$4)*INDEX(Curves!$D$16:$O$16,1,BM$5)</f>
        <v/>
      </c>
      <c r="BN10" s="25">
        <f>INDEX(Trees!$D$26:$M$26,1,BN$4)*INDEX(Curves!$D$16:$O$16,1,BN$5)</f>
        <v/>
      </c>
      <c r="BO10" s="25">
        <f>INDEX(Trees!$D$26:$M$26,1,BO$4)*INDEX(Curves!$D$16:$O$16,1,BO$5)</f>
        <v/>
      </c>
      <c r="BP10" s="25">
        <f>INDEX(Trees!$D$26:$M$26,1,BP$4)*INDEX(Curves!$D$16:$O$16,1,BP$5)</f>
        <v/>
      </c>
      <c r="BQ10" s="25">
        <f>INDEX(Trees!$D$26:$M$26,1,BQ$4)*INDEX(Curves!$D$16:$O$16,1,BQ$5)</f>
        <v/>
      </c>
      <c r="BR10" s="25">
        <f>INDEX(Trees!$D$26:$M$26,1,BR$4)*INDEX(Curves!$D$16:$O$16,1,BR$5)</f>
        <v/>
      </c>
      <c r="BS10" s="25">
        <f>INDEX(Trees!$D$26:$M$26,1,BS$4)*INDEX(Curves!$D$16:$O$16,1,BS$5)</f>
        <v/>
      </c>
      <c r="BT10" s="25">
        <f>INDEX(Trees!$D$26:$M$26,1,BT$4)*INDEX(Curves!$D$16:$O$16,1,BT$5)</f>
        <v/>
      </c>
      <c r="BU10" s="25">
        <f>INDEX(Trees!$D$26:$M$26,1,BU$4)*INDEX(Curves!$D$16:$O$16,1,BU$5)</f>
        <v/>
      </c>
      <c r="BV10" s="25">
        <f>INDEX(Trees!$D$26:$M$26,1,BV$4)*INDEX(Curves!$D$16:$O$16,1,BV$5)</f>
        <v/>
      </c>
      <c r="BW10" s="25">
        <f>INDEX(Trees!$D$26:$M$26,1,BW$4)*INDEX(Curves!$D$16:$O$16,1,BW$5)</f>
        <v/>
      </c>
      <c r="BX10" s="25">
        <f>INDEX(Trees!$D$26:$M$26,1,BX$4)*INDEX(Curves!$D$16:$O$16,1,BX$5)</f>
        <v/>
      </c>
      <c r="BY10" s="25">
        <f>INDEX(Trees!$D$26:$M$26,1,BY$4)*INDEX(Curves!$D$16:$O$16,1,BY$5)</f>
        <v/>
      </c>
      <c r="BZ10" s="25">
        <f>INDEX(Trees!$D$26:$M$26,1,BZ$4)*INDEX(Curves!$D$16:$O$16,1,BZ$5)</f>
        <v/>
      </c>
      <c r="CA10" s="25">
        <f>INDEX(Trees!$D$26:$M$26,1,CA$4)*INDEX(Curves!$D$16:$O$16,1,CA$5)</f>
        <v/>
      </c>
      <c r="CB10" s="25">
        <f>INDEX(Trees!$D$26:$M$26,1,CB$4)*INDEX(Curves!$D$16:$O$16,1,CB$5)</f>
        <v/>
      </c>
      <c r="CC10" s="25">
        <f>INDEX(Trees!$D$26:$M$26,1,CC$4)*INDEX(Curves!$D$16:$O$16,1,CC$5)</f>
        <v/>
      </c>
      <c r="CD10" s="25">
        <f>INDEX(Trees!$D$26:$M$26,1,CD$4)*INDEX(Curves!$D$16:$O$16,1,CD$5)</f>
        <v/>
      </c>
      <c r="CE10" s="25">
        <f>INDEX(Trees!$D$26:$M$26,1,CE$4)*INDEX(Curves!$D$16:$O$16,1,CE$5)</f>
        <v/>
      </c>
      <c r="CF10" s="25">
        <f>INDEX(Trees!$D$26:$M$26,1,CF$4)*INDEX(Curves!$D$16:$O$16,1,CF$5)</f>
        <v/>
      </c>
      <c r="CG10" s="25">
        <f>INDEX(Trees!$D$26:$M$26,1,CG$4)*INDEX(Curves!$D$16:$O$16,1,CG$5)</f>
        <v/>
      </c>
      <c r="CH10" s="25">
        <f>INDEX(Trees!$D$26:$M$26,1,CH$4)*INDEX(Curves!$D$16:$O$16,1,CH$5)</f>
        <v/>
      </c>
      <c r="CI10" s="25">
        <f>INDEX(Trees!$D$26:$M$26,1,CI$4)*INDEX(Curves!$D$16:$O$16,1,CI$5)</f>
        <v/>
      </c>
      <c r="CJ10" s="25">
        <f>INDEX(Trees!$D$26:$M$26,1,CJ$4)*INDEX(Curves!$D$16:$O$16,1,CJ$5)</f>
        <v/>
      </c>
      <c r="CK10" s="25">
        <f>INDEX(Trees!$D$26:$M$26,1,CK$4)*INDEX(Curves!$D$16:$O$16,1,CK$5)</f>
        <v/>
      </c>
      <c r="CL10" s="25">
        <f>INDEX(Trees!$D$26:$M$26,1,CL$4)*INDEX(Curves!$D$16:$O$16,1,CL$5)</f>
        <v/>
      </c>
      <c r="CM10" s="25">
        <f>INDEX(Trees!$D$26:$M$26,1,CM$4)*INDEX(Curves!$D$16:$O$16,1,CM$5)</f>
        <v/>
      </c>
      <c r="CN10" s="25">
        <f>INDEX(Trees!$D$26:$M$26,1,CN$4)*INDEX(Curves!$D$16:$O$16,1,CN$5)</f>
        <v/>
      </c>
      <c r="CO10" s="25">
        <f>INDEX(Trees!$D$26:$M$26,1,CO$4)*INDEX(Curves!$D$16:$O$16,1,CO$5)</f>
        <v/>
      </c>
      <c r="CP10" s="25">
        <f>INDEX(Trees!$D$26:$M$26,1,CP$4)*INDEX(Curves!$D$16:$O$16,1,CP$5)</f>
        <v/>
      </c>
      <c r="CQ10" s="25">
        <f>INDEX(Trees!$D$26:$M$26,1,CQ$4)*INDEX(Curves!$D$16:$O$16,1,CQ$5)</f>
        <v/>
      </c>
      <c r="CR10" s="25">
        <f>INDEX(Trees!$D$26:$M$26,1,CR$4)*INDEX(Curves!$D$16:$O$16,1,CR$5)</f>
        <v/>
      </c>
      <c r="CS10" s="25">
        <f>INDEX(Trees!$D$26:$M$26,1,CS$4)*INDEX(Curves!$D$16:$O$16,1,CS$5)</f>
        <v/>
      </c>
      <c r="CT10" s="25">
        <f>INDEX(Trees!$D$26:$M$26,1,CT$4)*INDEX(Curves!$D$16:$O$16,1,CT$5)</f>
        <v/>
      </c>
      <c r="CU10" s="25">
        <f>INDEX(Trees!$D$26:$M$26,1,CU$4)*INDEX(Curves!$D$16:$O$16,1,CU$5)</f>
        <v/>
      </c>
      <c r="CV10" s="25">
        <f>INDEX(Trees!$D$26:$M$26,1,CV$4)*INDEX(Curves!$D$16:$O$16,1,CV$5)</f>
        <v/>
      </c>
      <c r="CW10" s="25">
        <f>INDEX(Trees!$D$26:$M$26,1,CW$4)*INDEX(Curves!$D$16:$O$16,1,CW$5)</f>
        <v/>
      </c>
      <c r="CX10" s="25">
        <f>INDEX(Trees!$D$26:$M$26,1,CX$4)*INDEX(Curves!$D$16:$O$16,1,CX$5)</f>
        <v/>
      </c>
      <c r="CY10" s="25">
        <f>INDEX(Trees!$D$26:$M$26,1,CY$4)*INDEX(Curves!$D$16:$O$16,1,CY$5)</f>
        <v/>
      </c>
      <c r="CZ10" s="25">
        <f>INDEX(Trees!$D$26:$M$26,1,CZ$4)*INDEX(Curves!$D$16:$O$16,1,CZ$5)</f>
        <v/>
      </c>
      <c r="DA10" s="25">
        <f>INDEX(Trees!$D$26:$M$26,1,DA$4)*INDEX(Curves!$D$16:$O$16,1,DA$5)</f>
        <v/>
      </c>
      <c r="DB10" s="25">
        <f>INDEX(Trees!$D$26:$M$26,1,DB$4)*INDEX(Curves!$D$16:$O$16,1,DB$5)</f>
        <v/>
      </c>
      <c r="DC10" s="25">
        <f>INDEX(Trees!$D$26:$M$26,1,DC$4)*INDEX(Curves!$D$16:$O$16,1,DC$5)</f>
        <v/>
      </c>
      <c r="DD10" s="25">
        <f>INDEX(Trees!$D$26:$M$26,1,DD$4)*INDEX(Curves!$D$16:$O$16,1,DD$5)</f>
        <v/>
      </c>
      <c r="DE10" s="25">
        <f>INDEX(Trees!$D$26:$M$26,1,DE$4)*INDEX(Curves!$D$16:$O$16,1,DE$5)</f>
        <v/>
      </c>
      <c r="DF10" s="25">
        <f>INDEX(Trees!$D$26:$M$26,1,DF$4)*INDEX(Curves!$D$16:$O$16,1,DF$5)</f>
        <v/>
      </c>
      <c r="DG10" s="25">
        <f>INDEX(Trees!$D$26:$M$26,1,DG$4)*INDEX(Curves!$D$16:$O$16,1,DG$5)</f>
        <v/>
      </c>
      <c r="DH10" s="25">
        <f>INDEX(Trees!$D$26:$M$26,1,DH$4)*INDEX(Curves!$D$16:$O$16,1,DH$5)</f>
        <v/>
      </c>
      <c r="DI10" s="25">
        <f>INDEX(Trees!$D$26:$M$26,1,DI$4)*INDEX(Curves!$D$16:$O$16,1,DI$5)</f>
        <v/>
      </c>
      <c r="DJ10" s="25">
        <f>INDEX(Trees!$D$26:$M$26,1,DJ$4)*INDEX(Curves!$D$16:$O$16,1,DJ$5)</f>
        <v/>
      </c>
      <c r="DK10" s="25">
        <f>INDEX(Trees!$D$26:$M$26,1,DK$4)*INDEX(Curves!$D$16:$O$16,1,DK$5)</f>
        <v/>
      </c>
      <c r="DL10" s="25">
        <f>INDEX(Trees!$D$26:$M$26,1,DL$4)*INDEX(Curves!$D$16:$O$16,1,DL$5)</f>
        <v/>
      </c>
      <c r="DM10" s="25">
        <f>INDEX(Trees!$D$26:$M$26,1,DM$4)*INDEX(Curves!$D$16:$O$16,1,DM$5)</f>
        <v/>
      </c>
      <c r="DN10" s="25">
        <f>INDEX(Trees!$D$26:$M$26,1,DN$4)*INDEX(Curves!$D$16:$O$16,1,DN$5)</f>
        <v/>
      </c>
      <c r="DO10" s="25">
        <f>INDEX(Trees!$D$26:$M$26,1,DO$4)*INDEX(Curves!$D$16:$O$16,1,DO$5)</f>
        <v/>
      </c>
      <c r="DP10" s="25">
        <f>INDEX(Trees!$D$26:$M$26,1,DP$4)*INDEX(Curves!$D$16:$O$16,1,DP$5)</f>
        <v/>
      </c>
      <c r="DQ10" s="25">
        <f>INDEX(Trees!$D$26:$M$26,1,DQ$4)*INDEX(Curves!$D$16:$O$16,1,DQ$5)</f>
        <v/>
      </c>
      <c r="DR10" s="25">
        <f>INDEX(Trees!$D$26:$M$26,1,DR$4)*INDEX(Curves!$D$16:$O$16,1,DR$5)</f>
        <v/>
      </c>
      <c r="DS10" s="25">
        <f>INDEX(Trees!$D$26:$M$26,1,DS$4)*INDEX(Curves!$D$16:$O$16,1,DS$5)</f>
        <v/>
      </c>
    </row>
    <row r="11">
      <c r="A11" s="2" t="inlineStr">
        <is>
          <t>CF_PAS</t>
        </is>
      </c>
      <c r="B11" s="6" t="inlineStr">
        <is>
          <t>Fruit: Passion fruit</t>
        </is>
      </c>
      <c r="C11" s="2" t="inlineStr">
        <is>
          <t>RWF</t>
        </is>
      </c>
      <c r="D11" s="25">
        <f>INDEX(Trees!$D$38:$M$38,1,D$4)*INDEX(Curves!$D$17:$O$17,1,D$5)</f>
        <v/>
      </c>
      <c r="E11" s="25">
        <f>INDEX(Trees!$D$38:$M$38,1,E$4)*INDEX(Curves!$D$17:$O$17,1,E$5)</f>
        <v/>
      </c>
      <c r="F11" s="25">
        <f>INDEX(Trees!$D$38:$M$38,1,F$4)*INDEX(Curves!$D$17:$O$17,1,F$5)</f>
        <v/>
      </c>
      <c r="G11" s="25">
        <f>INDEX(Trees!$D$38:$M$38,1,G$4)*INDEX(Curves!$D$17:$O$17,1,G$5)</f>
        <v/>
      </c>
      <c r="H11" s="25">
        <f>INDEX(Trees!$D$38:$M$38,1,H$4)*INDEX(Curves!$D$17:$O$17,1,H$5)</f>
        <v/>
      </c>
      <c r="I11" s="25">
        <f>INDEX(Trees!$D$38:$M$38,1,I$4)*INDEX(Curves!$D$17:$O$17,1,I$5)</f>
        <v/>
      </c>
      <c r="J11" s="25">
        <f>INDEX(Trees!$D$38:$M$38,1,J$4)*INDEX(Curves!$D$17:$O$17,1,J$5)</f>
        <v/>
      </c>
      <c r="K11" s="25">
        <f>INDEX(Trees!$D$38:$M$38,1,K$4)*INDEX(Curves!$D$17:$O$17,1,K$5)</f>
        <v/>
      </c>
      <c r="L11" s="25">
        <f>INDEX(Trees!$D$38:$M$38,1,L$4)*INDEX(Curves!$D$17:$O$17,1,L$5)</f>
        <v/>
      </c>
      <c r="M11" s="25">
        <f>INDEX(Trees!$D$38:$M$38,1,M$4)*INDEX(Curves!$D$17:$O$17,1,M$5)</f>
        <v/>
      </c>
      <c r="N11" s="25">
        <f>INDEX(Trees!$D$38:$M$38,1,N$4)*INDEX(Curves!$D$17:$O$17,1,N$5)</f>
        <v/>
      </c>
      <c r="O11" s="25">
        <f>INDEX(Trees!$D$38:$M$38,1,O$4)*INDEX(Curves!$D$17:$O$17,1,O$5)</f>
        <v/>
      </c>
      <c r="P11" s="25">
        <f>INDEX(Trees!$D$38:$M$38,1,P$4)*INDEX(Curves!$D$17:$O$17,1,P$5)</f>
        <v/>
      </c>
      <c r="Q11" s="25">
        <f>INDEX(Trees!$D$38:$M$38,1,Q$4)*INDEX(Curves!$D$17:$O$17,1,Q$5)</f>
        <v/>
      </c>
      <c r="R11" s="25">
        <f>INDEX(Trees!$D$38:$M$38,1,R$4)*INDEX(Curves!$D$17:$O$17,1,R$5)</f>
        <v/>
      </c>
      <c r="S11" s="25">
        <f>INDEX(Trees!$D$38:$M$38,1,S$4)*INDEX(Curves!$D$17:$O$17,1,S$5)</f>
        <v/>
      </c>
      <c r="T11" s="25">
        <f>INDEX(Trees!$D$38:$M$38,1,T$4)*INDEX(Curves!$D$17:$O$17,1,T$5)</f>
        <v/>
      </c>
      <c r="U11" s="25">
        <f>INDEX(Trees!$D$38:$M$38,1,U$4)*INDEX(Curves!$D$17:$O$17,1,U$5)</f>
        <v/>
      </c>
      <c r="V11" s="25">
        <f>INDEX(Trees!$D$38:$M$38,1,V$4)*INDEX(Curves!$D$17:$O$17,1,V$5)</f>
        <v/>
      </c>
      <c r="W11" s="25">
        <f>INDEX(Trees!$D$38:$M$38,1,W$4)*INDEX(Curves!$D$17:$O$17,1,W$5)</f>
        <v/>
      </c>
      <c r="X11" s="25">
        <f>INDEX(Trees!$D$38:$M$38,1,X$4)*INDEX(Curves!$D$17:$O$17,1,X$5)</f>
        <v/>
      </c>
      <c r="Y11" s="25">
        <f>INDEX(Trees!$D$38:$M$38,1,Y$4)*INDEX(Curves!$D$17:$O$17,1,Y$5)</f>
        <v/>
      </c>
      <c r="Z11" s="25">
        <f>INDEX(Trees!$D$38:$M$38,1,Z$4)*INDEX(Curves!$D$17:$O$17,1,Z$5)</f>
        <v/>
      </c>
      <c r="AA11" s="25">
        <f>INDEX(Trees!$D$38:$M$38,1,AA$4)*INDEX(Curves!$D$17:$O$17,1,AA$5)</f>
        <v/>
      </c>
      <c r="AB11" s="25">
        <f>INDEX(Trees!$D$38:$M$38,1,AB$4)*INDEX(Curves!$D$17:$O$17,1,AB$5)</f>
        <v/>
      </c>
      <c r="AC11" s="25">
        <f>INDEX(Trees!$D$38:$M$38,1,AC$4)*INDEX(Curves!$D$17:$O$17,1,AC$5)</f>
        <v/>
      </c>
      <c r="AD11" s="25">
        <f>INDEX(Trees!$D$38:$M$38,1,AD$4)*INDEX(Curves!$D$17:$O$17,1,AD$5)</f>
        <v/>
      </c>
      <c r="AE11" s="25">
        <f>INDEX(Trees!$D$38:$M$38,1,AE$4)*INDEX(Curves!$D$17:$O$17,1,AE$5)</f>
        <v/>
      </c>
      <c r="AF11" s="25">
        <f>INDEX(Trees!$D$38:$M$38,1,AF$4)*INDEX(Curves!$D$17:$O$17,1,AF$5)</f>
        <v/>
      </c>
      <c r="AG11" s="25">
        <f>INDEX(Trees!$D$38:$M$38,1,AG$4)*INDEX(Curves!$D$17:$O$17,1,AG$5)</f>
        <v/>
      </c>
      <c r="AH11" s="25">
        <f>INDEX(Trees!$D$38:$M$38,1,AH$4)*INDEX(Curves!$D$17:$O$17,1,AH$5)</f>
        <v/>
      </c>
      <c r="AI11" s="25">
        <f>INDEX(Trees!$D$38:$M$38,1,AI$4)*INDEX(Curves!$D$17:$O$17,1,AI$5)</f>
        <v/>
      </c>
      <c r="AJ11" s="25">
        <f>INDEX(Trees!$D$38:$M$38,1,AJ$4)*INDEX(Curves!$D$17:$O$17,1,AJ$5)</f>
        <v/>
      </c>
      <c r="AK11" s="25">
        <f>INDEX(Trees!$D$38:$M$38,1,AK$4)*INDEX(Curves!$D$17:$O$17,1,AK$5)</f>
        <v/>
      </c>
      <c r="AL11" s="25">
        <f>INDEX(Trees!$D$38:$M$38,1,AL$4)*INDEX(Curves!$D$17:$O$17,1,AL$5)</f>
        <v/>
      </c>
      <c r="AM11" s="25">
        <f>INDEX(Trees!$D$38:$M$38,1,AM$4)*INDEX(Curves!$D$17:$O$17,1,AM$5)</f>
        <v/>
      </c>
      <c r="AN11" s="25">
        <f>INDEX(Trees!$D$38:$M$38,1,AN$4)*INDEX(Curves!$D$17:$O$17,1,AN$5)</f>
        <v/>
      </c>
      <c r="AO11" s="25">
        <f>INDEX(Trees!$D$38:$M$38,1,AO$4)*INDEX(Curves!$D$17:$O$17,1,AO$5)</f>
        <v/>
      </c>
      <c r="AP11" s="25">
        <f>INDEX(Trees!$D$38:$M$38,1,AP$4)*INDEX(Curves!$D$17:$O$17,1,AP$5)</f>
        <v/>
      </c>
      <c r="AQ11" s="25">
        <f>INDEX(Trees!$D$38:$M$38,1,AQ$4)*INDEX(Curves!$D$17:$O$17,1,AQ$5)</f>
        <v/>
      </c>
      <c r="AR11" s="25">
        <f>INDEX(Trees!$D$38:$M$38,1,AR$4)*INDEX(Curves!$D$17:$O$17,1,AR$5)</f>
        <v/>
      </c>
      <c r="AS11" s="25">
        <f>INDEX(Trees!$D$38:$M$38,1,AS$4)*INDEX(Curves!$D$17:$O$17,1,AS$5)</f>
        <v/>
      </c>
      <c r="AT11" s="25">
        <f>INDEX(Trees!$D$38:$M$38,1,AT$4)*INDEX(Curves!$D$17:$O$17,1,AT$5)</f>
        <v/>
      </c>
      <c r="AU11" s="25">
        <f>INDEX(Trees!$D$38:$M$38,1,AU$4)*INDEX(Curves!$D$17:$O$17,1,AU$5)</f>
        <v/>
      </c>
      <c r="AV11" s="25">
        <f>INDEX(Trees!$D$38:$M$38,1,AV$4)*INDEX(Curves!$D$17:$O$17,1,AV$5)</f>
        <v/>
      </c>
      <c r="AW11" s="25">
        <f>INDEX(Trees!$D$38:$M$38,1,AW$4)*INDEX(Curves!$D$17:$O$17,1,AW$5)</f>
        <v/>
      </c>
      <c r="AX11" s="25">
        <f>INDEX(Trees!$D$38:$M$38,1,AX$4)*INDEX(Curves!$D$17:$O$17,1,AX$5)</f>
        <v/>
      </c>
      <c r="AY11" s="25">
        <f>INDEX(Trees!$D$38:$M$38,1,AY$4)*INDEX(Curves!$D$17:$O$17,1,AY$5)</f>
        <v/>
      </c>
      <c r="AZ11" s="25">
        <f>INDEX(Trees!$D$38:$M$38,1,AZ$4)*INDEX(Curves!$D$17:$O$17,1,AZ$5)</f>
        <v/>
      </c>
      <c r="BA11" s="25">
        <f>INDEX(Trees!$D$38:$M$38,1,BA$4)*INDEX(Curves!$D$17:$O$17,1,BA$5)</f>
        <v/>
      </c>
      <c r="BB11" s="25">
        <f>INDEX(Trees!$D$38:$M$38,1,BB$4)*INDEX(Curves!$D$17:$O$17,1,BB$5)</f>
        <v/>
      </c>
      <c r="BC11" s="25">
        <f>INDEX(Trees!$D$38:$M$38,1,BC$4)*INDEX(Curves!$D$17:$O$17,1,BC$5)</f>
        <v/>
      </c>
      <c r="BD11" s="25">
        <f>INDEX(Trees!$D$38:$M$38,1,BD$4)*INDEX(Curves!$D$17:$O$17,1,BD$5)</f>
        <v/>
      </c>
      <c r="BE11" s="25">
        <f>INDEX(Trees!$D$38:$M$38,1,BE$4)*INDEX(Curves!$D$17:$O$17,1,BE$5)</f>
        <v/>
      </c>
      <c r="BF11" s="25">
        <f>INDEX(Trees!$D$38:$M$38,1,BF$4)*INDEX(Curves!$D$17:$O$17,1,BF$5)</f>
        <v/>
      </c>
      <c r="BG11" s="25">
        <f>INDEX(Trees!$D$38:$M$38,1,BG$4)*INDEX(Curves!$D$17:$O$17,1,BG$5)</f>
        <v/>
      </c>
      <c r="BH11" s="25">
        <f>INDEX(Trees!$D$38:$M$38,1,BH$4)*INDEX(Curves!$D$17:$O$17,1,BH$5)</f>
        <v/>
      </c>
      <c r="BI11" s="25">
        <f>INDEX(Trees!$D$38:$M$38,1,BI$4)*INDEX(Curves!$D$17:$O$17,1,BI$5)</f>
        <v/>
      </c>
      <c r="BJ11" s="25">
        <f>INDEX(Trees!$D$38:$M$38,1,BJ$4)*INDEX(Curves!$D$17:$O$17,1,BJ$5)</f>
        <v/>
      </c>
      <c r="BK11" s="25">
        <f>INDEX(Trees!$D$38:$M$38,1,BK$4)*INDEX(Curves!$D$17:$O$17,1,BK$5)</f>
        <v/>
      </c>
      <c r="BL11" s="25">
        <f>INDEX(Trees!$D$38:$M$38,1,BL$4)*INDEX(Curves!$D$17:$O$17,1,BL$5)</f>
        <v/>
      </c>
      <c r="BM11" s="25">
        <f>INDEX(Trees!$D$38:$M$38,1,BM$4)*INDEX(Curves!$D$17:$O$17,1,BM$5)</f>
        <v/>
      </c>
      <c r="BN11" s="25">
        <f>INDEX(Trees!$D$38:$M$38,1,BN$4)*INDEX(Curves!$D$17:$O$17,1,BN$5)</f>
        <v/>
      </c>
      <c r="BO11" s="25">
        <f>INDEX(Trees!$D$38:$M$38,1,BO$4)*INDEX(Curves!$D$17:$O$17,1,BO$5)</f>
        <v/>
      </c>
      <c r="BP11" s="25">
        <f>INDEX(Trees!$D$38:$M$38,1,BP$4)*INDEX(Curves!$D$17:$O$17,1,BP$5)</f>
        <v/>
      </c>
      <c r="BQ11" s="25">
        <f>INDEX(Trees!$D$38:$M$38,1,BQ$4)*INDEX(Curves!$D$17:$O$17,1,BQ$5)</f>
        <v/>
      </c>
      <c r="BR11" s="25">
        <f>INDEX(Trees!$D$38:$M$38,1,BR$4)*INDEX(Curves!$D$17:$O$17,1,BR$5)</f>
        <v/>
      </c>
      <c r="BS11" s="25">
        <f>INDEX(Trees!$D$38:$M$38,1,BS$4)*INDEX(Curves!$D$17:$O$17,1,BS$5)</f>
        <v/>
      </c>
      <c r="BT11" s="25">
        <f>INDEX(Trees!$D$38:$M$38,1,BT$4)*INDEX(Curves!$D$17:$O$17,1,BT$5)</f>
        <v/>
      </c>
      <c r="BU11" s="25">
        <f>INDEX(Trees!$D$38:$M$38,1,BU$4)*INDEX(Curves!$D$17:$O$17,1,BU$5)</f>
        <v/>
      </c>
      <c r="BV11" s="25">
        <f>INDEX(Trees!$D$38:$M$38,1,BV$4)*INDEX(Curves!$D$17:$O$17,1,BV$5)</f>
        <v/>
      </c>
      <c r="BW11" s="25">
        <f>INDEX(Trees!$D$38:$M$38,1,BW$4)*INDEX(Curves!$D$17:$O$17,1,BW$5)</f>
        <v/>
      </c>
      <c r="BX11" s="25">
        <f>INDEX(Trees!$D$38:$M$38,1,BX$4)*INDEX(Curves!$D$17:$O$17,1,BX$5)</f>
        <v/>
      </c>
      <c r="BY11" s="25">
        <f>INDEX(Trees!$D$38:$M$38,1,BY$4)*INDEX(Curves!$D$17:$O$17,1,BY$5)</f>
        <v/>
      </c>
      <c r="BZ11" s="25">
        <f>INDEX(Trees!$D$38:$M$38,1,BZ$4)*INDEX(Curves!$D$17:$O$17,1,BZ$5)</f>
        <v/>
      </c>
      <c r="CA11" s="25">
        <f>INDEX(Trees!$D$38:$M$38,1,CA$4)*INDEX(Curves!$D$17:$O$17,1,CA$5)</f>
        <v/>
      </c>
      <c r="CB11" s="25">
        <f>INDEX(Trees!$D$38:$M$38,1,CB$4)*INDEX(Curves!$D$17:$O$17,1,CB$5)</f>
        <v/>
      </c>
      <c r="CC11" s="25">
        <f>INDEX(Trees!$D$38:$M$38,1,CC$4)*INDEX(Curves!$D$17:$O$17,1,CC$5)</f>
        <v/>
      </c>
      <c r="CD11" s="25">
        <f>INDEX(Trees!$D$38:$M$38,1,CD$4)*INDEX(Curves!$D$17:$O$17,1,CD$5)</f>
        <v/>
      </c>
      <c r="CE11" s="25">
        <f>INDEX(Trees!$D$38:$M$38,1,CE$4)*INDEX(Curves!$D$17:$O$17,1,CE$5)</f>
        <v/>
      </c>
      <c r="CF11" s="25">
        <f>INDEX(Trees!$D$38:$M$38,1,CF$4)*INDEX(Curves!$D$17:$O$17,1,CF$5)</f>
        <v/>
      </c>
      <c r="CG11" s="25">
        <f>INDEX(Trees!$D$38:$M$38,1,CG$4)*INDEX(Curves!$D$17:$O$17,1,CG$5)</f>
        <v/>
      </c>
      <c r="CH11" s="25">
        <f>INDEX(Trees!$D$38:$M$38,1,CH$4)*INDEX(Curves!$D$17:$O$17,1,CH$5)</f>
        <v/>
      </c>
      <c r="CI11" s="25">
        <f>INDEX(Trees!$D$38:$M$38,1,CI$4)*INDEX(Curves!$D$17:$O$17,1,CI$5)</f>
        <v/>
      </c>
      <c r="CJ11" s="25">
        <f>INDEX(Trees!$D$38:$M$38,1,CJ$4)*INDEX(Curves!$D$17:$O$17,1,CJ$5)</f>
        <v/>
      </c>
      <c r="CK11" s="25">
        <f>INDEX(Trees!$D$38:$M$38,1,CK$4)*INDEX(Curves!$D$17:$O$17,1,CK$5)</f>
        <v/>
      </c>
      <c r="CL11" s="25">
        <f>INDEX(Trees!$D$38:$M$38,1,CL$4)*INDEX(Curves!$D$17:$O$17,1,CL$5)</f>
        <v/>
      </c>
      <c r="CM11" s="25">
        <f>INDEX(Trees!$D$38:$M$38,1,CM$4)*INDEX(Curves!$D$17:$O$17,1,CM$5)</f>
        <v/>
      </c>
      <c r="CN11" s="25">
        <f>INDEX(Trees!$D$38:$M$38,1,CN$4)*INDEX(Curves!$D$17:$O$17,1,CN$5)</f>
        <v/>
      </c>
      <c r="CO11" s="25">
        <f>INDEX(Trees!$D$38:$M$38,1,CO$4)*INDEX(Curves!$D$17:$O$17,1,CO$5)</f>
        <v/>
      </c>
      <c r="CP11" s="25">
        <f>INDEX(Trees!$D$38:$M$38,1,CP$4)*INDEX(Curves!$D$17:$O$17,1,CP$5)</f>
        <v/>
      </c>
      <c r="CQ11" s="25">
        <f>INDEX(Trees!$D$38:$M$38,1,CQ$4)*INDEX(Curves!$D$17:$O$17,1,CQ$5)</f>
        <v/>
      </c>
      <c r="CR11" s="25">
        <f>INDEX(Trees!$D$38:$M$38,1,CR$4)*INDEX(Curves!$D$17:$O$17,1,CR$5)</f>
        <v/>
      </c>
      <c r="CS11" s="25">
        <f>INDEX(Trees!$D$38:$M$38,1,CS$4)*INDEX(Curves!$D$17:$O$17,1,CS$5)</f>
        <v/>
      </c>
      <c r="CT11" s="25">
        <f>INDEX(Trees!$D$38:$M$38,1,CT$4)*INDEX(Curves!$D$17:$O$17,1,CT$5)</f>
        <v/>
      </c>
      <c r="CU11" s="25">
        <f>INDEX(Trees!$D$38:$M$38,1,CU$4)*INDEX(Curves!$D$17:$O$17,1,CU$5)</f>
        <v/>
      </c>
      <c r="CV11" s="25">
        <f>INDEX(Trees!$D$38:$M$38,1,CV$4)*INDEX(Curves!$D$17:$O$17,1,CV$5)</f>
        <v/>
      </c>
      <c r="CW11" s="25">
        <f>INDEX(Trees!$D$38:$M$38,1,CW$4)*INDEX(Curves!$D$17:$O$17,1,CW$5)</f>
        <v/>
      </c>
      <c r="CX11" s="25">
        <f>INDEX(Trees!$D$38:$M$38,1,CX$4)*INDEX(Curves!$D$17:$O$17,1,CX$5)</f>
        <v/>
      </c>
      <c r="CY11" s="25">
        <f>INDEX(Trees!$D$38:$M$38,1,CY$4)*INDEX(Curves!$D$17:$O$17,1,CY$5)</f>
        <v/>
      </c>
      <c r="CZ11" s="25">
        <f>INDEX(Trees!$D$38:$M$38,1,CZ$4)*INDEX(Curves!$D$17:$O$17,1,CZ$5)</f>
        <v/>
      </c>
      <c r="DA11" s="25">
        <f>INDEX(Trees!$D$38:$M$38,1,DA$4)*INDEX(Curves!$D$17:$O$17,1,DA$5)</f>
        <v/>
      </c>
      <c r="DB11" s="25">
        <f>INDEX(Trees!$D$38:$M$38,1,DB$4)*INDEX(Curves!$D$17:$O$17,1,DB$5)</f>
        <v/>
      </c>
      <c r="DC11" s="25">
        <f>INDEX(Trees!$D$38:$M$38,1,DC$4)*INDEX(Curves!$D$17:$O$17,1,DC$5)</f>
        <v/>
      </c>
      <c r="DD11" s="25">
        <f>INDEX(Trees!$D$38:$M$38,1,DD$4)*INDEX(Curves!$D$17:$O$17,1,DD$5)</f>
        <v/>
      </c>
      <c r="DE11" s="25">
        <f>INDEX(Trees!$D$38:$M$38,1,DE$4)*INDEX(Curves!$D$17:$O$17,1,DE$5)</f>
        <v/>
      </c>
      <c r="DF11" s="25">
        <f>INDEX(Trees!$D$38:$M$38,1,DF$4)*INDEX(Curves!$D$17:$O$17,1,DF$5)</f>
        <v/>
      </c>
      <c r="DG11" s="25">
        <f>INDEX(Trees!$D$38:$M$38,1,DG$4)*INDEX(Curves!$D$17:$O$17,1,DG$5)</f>
        <v/>
      </c>
      <c r="DH11" s="25">
        <f>INDEX(Trees!$D$38:$M$38,1,DH$4)*INDEX(Curves!$D$17:$O$17,1,DH$5)</f>
        <v/>
      </c>
      <c r="DI11" s="25">
        <f>INDEX(Trees!$D$38:$M$38,1,DI$4)*INDEX(Curves!$D$17:$O$17,1,DI$5)</f>
        <v/>
      </c>
      <c r="DJ11" s="25">
        <f>INDEX(Trees!$D$38:$M$38,1,DJ$4)*INDEX(Curves!$D$17:$O$17,1,DJ$5)</f>
        <v/>
      </c>
      <c r="DK11" s="25">
        <f>INDEX(Trees!$D$38:$M$38,1,DK$4)*INDEX(Curves!$D$17:$O$17,1,DK$5)</f>
        <v/>
      </c>
      <c r="DL11" s="25">
        <f>INDEX(Trees!$D$38:$M$38,1,DL$4)*INDEX(Curves!$D$17:$O$17,1,DL$5)</f>
        <v/>
      </c>
      <c r="DM11" s="25">
        <f>INDEX(Trees!$D$38:$M$38,1,DM$4)*INDEX(Curves!$D$17:$O$17,1,DM$5)</f>
        <v/>
      </c>
      <c r="DN11" s="25">
        <f>INDEX(Trees!$D$38:$M$38,1,DN$4)*INDEX(Curves!$D$17:$O$17,1,DN$5)</f>
        <v/>
      </c>
      <c r="DO11" s="25">
        <f>INDEX(Trees!$D$38:$M$38,1,DO$4)*INDEX(Curves!$D$17:$O$17,1,DO$5)</f>
        <v/>
      </c>
      <c r="DP11" s="25">
        <f>INDEX(Trees!$D$38:$M$38,1,DP$4)*INDEX(Curves!$D$17:$O$17,1,DP$5)</f>
        <v/>
      </c>
      <c r="DQ11" s="25">
        <f>INDEX(Trees!$D$38:$M$38,1,DQ$4)*INDEX(Curves!$D$17:$O$17,1,DQ$5)</f>
        <v/>
      </c>
      <c r="DR11" s="25">
        <f>INDEX(Trees!$D$38:$M$38,1,DR$4)*INDEX(Curves!$D$17:$O$17,1,DR$5)</f>
        <v/>
      </c>
      <c r="DS11" s="25">
        <f>INDEX(Trees!$D$38:$M$38,1,DS$4)*INDEX(Curves!$D$17:$O$17,1,DS$5)</f>
        <v/>
      </c>
    </row>
    <row r="12">
      <c r="A12" s="2" t="inlineStr">
        <is>
          <t>CF_PAP</t>
        </is>
      </c>
      <c r="B12" s="6" t="inlineStr">
        <is>
          <t>Fruit: Papaya</t>
        </is>
      </c>
      <c r="C12" s="2" t="inlineStr">
        <is>
          <t>RWF</t>
        </is>
      </c>
      <c r="D12" s="25">
        <f>INDEX(Trees!$D$50:$M$50,1,D$4)*INDEX(Curves!$D$18:$O$18,1,D$5)</f>
        <v/>
      </c>
      <c r="E12" s="25">
        <f>INDEX(Trees!$D$50:$M$50,1,E$4)*INDEX(Curves!$D$18:$O$18,1,E$5)</f>
        <v/>
      </c>
      <c r="F12" s="25">
        <f>INDEX(Trees!$D$50:$M$50,1,F$4)*INDEX(Curves!$D$18:$O$18,1,F$5)</f>
        <v/>
      </c>
      <c r="G12" s="25">
        <f>INDEX(Trees!$D$50:$M$50,1,G$4)*INDEX(Curves!$D$18:$O$18,1,G$5)</f>
        <v/>
      </c>
      <c r="H12" s="25">
        <f>INDEX(Trees!$D$50:$M$50,1,H$4)*INDEX(Curves!$D$18:$O$18,1,H$5)</f>
        <v/>
      </c>
      <c r="I12" s="25">
        <f>INDEX(Trees!$D$50:$M$50,1,I$4)*INDEX(Curves!$D$18:$O$18,1,I$5)</f>
        <v/>
      </c>
      <c r="J12" s="25">
        <f>INDEX(Trees!$D$50:$M$50,1,J$4)*INDEX(Curves!$D$18:$O$18,1,J$5)</f>
        <v/>
      </c>
      <c r="K12" s="25">
        <f>INDEX(Trees!$D$50:$M$50,1,K$4)*INDEX(Curves!$D$18:$O$18,1,K$5)</f>
        <v/>
      </c>
      <c r="L12" s="25">
        <f>INDEX(Trees!$D$50:$M$50,1,L$4)*INDEX(Curves!$D$18:$O$18,1,L$5)</f>
        <v/>
      </c>
      <c r="M12" s="25">
        <f>INDEX(Trees!$D$50:$M$50,1,M$4)*INDEX(Curves!$D$18:$O$18,1,M$5)</f>
        <v/>
      </c>
      <c r="N12" s="25">
        <f>INDEX(Trees!$D$50:$M$50,1,N$4)*INDEX(Curves!$D$18:$O$18,1,N$5)</f>
        <v/>
      </c>
      <c r="O12" s="25">
        <f>INDEX(Trees!$D$50:$M$50,1,O$4)*INDEX(Curves!$D$18:$O$18,1,O$5)</f>
        <v/>
      </c>
      <c r="P12" s="25">
        <f>INDEX(Trees!$D$50:$M$50,1,P$4)*INDEX(Curves!$D$18:$O$18,1,P$5)</f>
        <v/>
      </c>
      <c r="Q12" s="25">
        <f>INDEX(Trees!$D$50:$M$50,1,Q$4)*INDEX(Curves!$D$18:$O$18,1,Q$5)</f>
        <v/>
      </c>
      <c r="R12" s="25">
        <f>INDEX(Trees!$D$50:$M$50,1,R$4)*INDEX(Curves!$D$18:$O$18,1,R$5)</f>
        <v/>
      </c>
      <c r="S12" s="25">
        <f>INDEX(Trees!$D$50:$M$50,1,S$4)*INDEX(Curves!$D$18:$O$18,1,S$5)</f>
        <v/>
      </c>
      <c r="T12" s="25">
        <f>INDEX(Trees!$D$50:$M$50,1,T$4)*INDEX(Curves!$D$18:$O$18,1,T$5)</f>
        <v/>
      </c>
      <c r="U12" s="25">
        <f>INDEX(Trees!$D$50:$M$50,1,U$4)*INDEX(Curves!$D$18:$O$18,1,U$5)</f>
        <v/>
      </c>
      <c r="V12" s="25">
        <f>INDEX(Trees!$D$50:$M$50,1,V$4)*INDEX(Curves!$D$18:$O$18,1,V$5)</f>
        <v/>
      </c>
      <c r="W12" s="25">
        <f>INDEX(Trees!$D$50:$M$50,1,W$4)*INDEX(Curves!$D$18:$O$18,1,W$5)</f>
        <v/>
      </c>
      <c r="X12" s="25">
        <f>INDEX(Trees!$D$50:$M$50,1,X$4)*INDEX(Curves!$D$18:$O$18,1,X$5)</f>
        <v/>
      </c>
      <c r="Y12" s="25">
        <f>INDEX(Trees!$D$50:$M$50,1,Y$4)*INDEX(Curves!$D$18:$O$18,1,Y$5)</f>
        <v/>
      </c>
      <c r="Z12" s="25">
        <f>INDEX(Trees!$D$50:$M$50,1,Z$4)*INDEX(Curves!$D$18:$O$18,1,Z$5)</f>
        <v/>
      </c>
      <c r="AA12" s="25">
        <f>INDEX(Trees!$D$50:$M$50,1,AA$4)*INDEX(Curves!$D$18:$O$18,1,AA$5)</f>
        <v/>
      </c>
      <c r="AB12" s="25">
        <f>INDEX(Trees!$D$50:$M$50,1,AB$4)*INDEX(Curves!$D$18:$O$18,1,AB$5)</f>
        <v/>
      </c>
      <c r="AC12" s="25">
        <f>INDEX(Trees!$D$50:$M$50,1,AC$4)*INDEX(Curves!$D$18:$O$18,1,AC$5)</f>
        <v/>
      </c>
      <c r="AD12" s="25">
        <f>INDEX(Trees!$D$50:$M$50,1,AD$4)*INDEX(Curves!$D$18:$O$18,1,AD$5)</f>
        <v/>
      </c>
      <c r="AE12" s="25">
        <f>INDEX(Trees!$D$50:$M$50,1,AE$4)*INDEX(Curves!$D$18:$O$18,1,AE$5)</f>
        <v/>
      </c>
      <c r="AF12" s="25">
        <f>INDEX(Trees!$D$50:$M$50,1,AF$4)*INDEX(Curves!$D$18:$O$18,1,AF$5)</f>
        <v/>
      </c>
      <c r="AG12" s="25">
        <f>INDEX(Trees!$D$50:$M$50,1,AG$4)*INDEX(Curves!$D$18:$O$18,1,AG$5)</f>
        <v/>
      </c>
      <c r="AH12" s="25">
        <f>INDEX(Trees!$D$50:$M$50,1,AH$4)*INDEX(Curves!$D$18:$O$18,1,AH$5)</f>
        <v/>
      </c>
      <c r="AI12" s="25">
        <f>INDEX(Trees!$D$50:$M$50,1,AI$4)*INDEX(Curves!$D$18:$O$18,1,AI$5)</f>
        <v/>
      </c>
      <c r="AJ12" s="25">
        <f>INDEX(Trees!$D$50:$M$50,1,AJ$4)*INDEX(Curves!$D$18:$O$18,1,AJ$5)</f>
        <v/>
      </c>
      <c r="AK12" s="25">
        <f>INDEX(Trees!$D$50:$M$50,1,AK$4)*INDEX(Curves!$D$18:$O$18,1,AK$5)</f>
        <v/>
      </c>
      <c r="AL12" s="25">
        <f>INDEX(Trees!$D$50:$M$50,1,AL$4)*INDEX(Curves!$D$18:$O$18,1,AL$5)</f>
        <v/>
      </c>
      <c r="AM12" s="25">
        <f>INDEX(Trees!$D$50:$M$50,1,AM$4)*INDEX(Curves!$D$18:$O$18,1,AM$5)</f>
        <v/>
      </c>
      <c r="AN12" s="25">
        <f>INDEX(Trees!$D$50:$M$50,1,AN$4)*INDEX(Curves!$D$18:$O$18,1,AN$5)</f>
        <v/>
      </c>
      <c r="AO12" s="25">
        <f>INDEX(Trees!$D$50:$M$50,1,AO$4)*INDEX(Curves!$D$18:$O$18,1,AO$5)</f>
        <v/>
      </c>
      <c r="AP12" s="25">
        <f>INDEX(Trees!$D$50:$M$50,1,AP$4)*INDEX(Curves!$D$18:$O$18,1,AP$5)</f>
        <v/>
      </c>
      <c r="AQ12" s="25">
        <f>INDEX(Trees!$D$50:$M$50,1,AQ$4)*INDEX(Curves!$D$18:$O$18,1,AQ$5)</f>
        <v/>
      </c>
      <c r="AR12" s="25">
        <f>INDEX(Trees!$D$50:$M$50,1,AR$4)*INDEX(Curves!$D$18:$O$18,1,AR$5)</f>
        <v/>
      </c>
      <c r="AS12" s="25">
        <f>INDEX(Trees!$D$50:$M$50,1,AS$4)*INDEX(Curves!$D$18:$O$18,1,AS$5)</f>
        <v/>
      </c>
      <c r="AT12" s="25">
        <f>INDEX(Trees!$D$50:$M$50,1,AT$4)*INDEX(Curves!$D$18:$O$18,1,AT$5)</f>
        <v/>
      </c>
      <c r="AU12" s="25">
        <f>INDEX(Trees!$D$50:$M$50,1,AU$4)*INDEX(Curves!$D$18:$O$18,1,AU$5)</f>
        <v/>
      </c>
      <c r="AV12" s="25">
        <f>INDEX(Trees!$D$50:$M$50,1,AV$4)*INDEX(Curves!$D$18:$O$18,1,AV$5)</f>
        <v/>
      </c>
      <c r="AW12" s="25">
        <f>INDEX(Trees!$D$50:$M$50,1,AW$4)*INDEX(Curves!$D$18:$O$18,1,AW$5)</f>
        <v/>
      </c>
      <c r="AX12" s="25">
        <f>INDEX(Trees!$D$50:$M$50,1,AX$4)*INDEX(Curves!$D$18:$O$18,1,AX$5)</f>
        <v/>
      </c>
      <c r="AY12" s="25">
        <f>INDEX(Trees!$D$50:$M$50,1,AY$4)*INDEX(Curves!$D$18:$O$18,1,AY$5)</f>
        <v/>
      </c>
      <c r="AZ12" s="25">
        <f>INDEX(Trees!$D$50:$M$50,1,AZ$4)*INDEX(Curves!$D$18:$O$18,1,AZ$5)</f>
        <v/>
      </c>
      <c r="BA12" s="25">
        <f>INDEX(Trees!$D$50:$M$50,1,BA$4)*INDEX(Curves!$D$18:$O$18,1,BA$5)</f>
        <v/>
      </c>
      <c r="BB12" s="25">
        <f>INDEX(Trees!$D$50:$M$50,1,BB$4)*INDEX(Curves!$D$18:$O$18,1,BB$5)</f>
        <v/>
      </c>
      <c r="BC12" s="25">
        <f>INDEX(Trees!$D$50:$M$50,1,BC$4)*INDEX(Curves!$D$18:$O$18,1,BC$5)</f>
        <v/>
      </c>
      <c r="BD12" s="25">
        <f>INDEX(Trees!$D$50:$M$50,1,BD$4)*INDEX(Curves!$D$18:$O$18,1,BD$5)</f>
        <v/>
      </c>
      <c r="BE12" s="25">
        <f>INDEX(Trees!$D$50:$M$50,1,BE$4)*INDEX(Curves!$D$18:$O$18,1,BE$5)</f>
        <v/>
      </c>
      <c r="BF12" s="25">
        <f>INDEX(Trees!$D$50:$M$50,1,BF$4)*INDEX(Curves!$D$18:$O$18,1,BF$5)</f>
        <v/>
      </c>
      <c r="BG12" s="25">
        <f>INDEX(Trees!$D$50:$M$50,1,BG$4)*INDEX(Curves!$D$18:$O$18,1,BG$5)</f>
        <v/>
      </c>
      <c r="BH12" s="25">
        <f>INDEX(Trees!$D$50:$M$50,1,BH$4)*INDEX(Curves!$D$18:$O$18,1,BH$5)</f>
        <v/>
      </c>
      <c r="BI12" s="25">
        <f>INDEX(Trees!$D$50:$M$50,1,BI$4)*INDEX(Curves!$D$18:$O$18,1,BI$5)</f>
        <v/>
      </c>
      <c r="BJ12" s="25">
        <f>INDEX(Trees!$D$50:$M$50,1,BJ$4)*INDEX(Curves!$D$18:$O$18,1,BJ$5)</f>
        <v/>
      </c>
      <c r="BK12" s="25">
        <f>INDEX(Trees!$D$50:$M$50,1,BK$4)*INDEX(Curves!$D$18:$O$18,1,BK$5)</f>
        <v/>
      </c>
      <c r="BL12" s="25">
        <f>INDEX(Trees!$D$50:$M$50,1,BL$4)*INDEX(Curves!$D$18:$O$18,1,BL$5)</f>
        <v/>
      </c>
      <c r="BM12" s="25">
        <f>INDEX(Trees!$D$50:$M$50,1,BM$4)*INDEX(Curves!$D$18:$O$18,1,BM$5)</f>
        <v/>
      </c>
      <c r="BN12" s="25">
        <f>INDEX(Trees!$D$50:$M$50,1,BN$4)*INDEX(Curves!$D$18:$O$18,1,BN$5)</f>
        <v/>
      </c>
      <c r="BO12" s="25">
        <f>INDEX(Trees!$D$50:$M$50,1,BO$4)*INDEX(Curves!$D$18:$O$18,1,BO$5)</f>
        <v/>
      </c>
      <c r="BP12" s="25">
        <f>INDEX(Trees!$D$50:$M$50,1,BP$4)*INDEX(Curves!$D$18:$O$18,1,BP$5)</f>
        <v/>
      </c>
      <c r="BQ12" s="25">
        <f>INDEX(Trees!$D$50:$M$50,1,BQ$4)*INDEX(Curves!$D$18:$O$18,1,BQ$5)</f>
        <v/>
      </c>
      <c r="BR12" s="25">
        <f>INDEX(Trees!$D$50:$M$50,1,BR$4)*INDEX(Curves!$D$18:$O$18,1,BR$5)</f>
        <v/>
      </c>
      <c r="BS12" s="25">
        <f>INDEX(Trees!$D$50:$M$50,1,BS$4)*INDEX(Curves!$D$18:$O$18,1,BS$5)</f>
        <v/>
      </c>
      <c r="BT12" s="25">
        <f>INDEX(Trees!$D$50:$M$50,1,BT$4)*INDEX(Curves!$D$18:$O$18,1,BT$5)</f>
        <v/>
      </c>
      <c r="BU12" s="25">
        <f>INDEX(Trees!$D$50:$M$50,1,BU$4)*INDEX(Curves!$D$18:$O$18,1,BU$5)</f>
        <v/>
      </c>
      <c r="BV12" s="25">
        <f>INDEX(Trees!$D$50:$M$50,1,BV$4)*INDEX(Curves!$D$18:$O$18,1,BV$5)</f>
        <v/>
      </c>
      <c r="BW12" s="25">
        <f>INDEX(Trees!$D$50:$M$50,1,BW$4)*INDEX(Curves!$D$18:$O$18,1,BW$5)</f>
        <v/>
      </c>
      <c r="BX12" s="25">
        <f>INDEX(Trees!$D$50:$M$50,1,BX$4)*INDEX(Curves!$D$18:$O$18,1,BX$5)</f>
        <v/>
      </c>
      <c r="BY12" s="25">
        <f>INDEX(Trees!$D$50:$M$50,1,BY$4)*INDEX(Curves!$D$18:$O$18,1,BY$5)</f>
        <v/>
      </c>
      <c r="BZ12" s="25">
        <f>INDEX(Trees!$D$50:$M$50,1,BZ$4)*INDEX(Curves!$D$18:$O$18,1,BZ$5)</f>
        <v/>
      </c>
      <c r="CA12" s="25">
        <f>INDEX(Trees!$D$50:$M$50,1,CA$4)*INDEX(Curves!$D$18:$O$18,1,CA$5)</f>
        <v/>
      </c>
      <c r="CB12" s="25">
        <f>INDEX(Trees!$D$50:$M$50,1,CB$4)*INDEX(Curves!$D$18:$O$18,1,CB$5)</f>
        <v/>
      </c>
      <c r="CC12" s="25">
        <f>INDEX(Trees!$D$50:$M$50,1,CC$4)*INDEX(Curves!$D$18:$O$18,1,CC$5)</f>
        <v/>
      </c>
      <c r="CD12" s="25">
        <f>INDEX(Trees!$D$50:$M$50,1,CD$4)*INDEX(Curves!$D$18:$O$18,1,CD$5)</f>
        <v/>
      </c>
      <c r="CE12" s="25">
        <f>INDEX(Trees!$D$50:$M$50,1,CE$4)*INDEX(Curves!$D$18:$O$18,1,CE$5)</f>
        <v/>
      </c>
      <c r="CF12" s="25">
        <f>INDEX(Trees!$D$50:$M$50,1,CF$4)*INDEX(Curves!$D$18:$O$18,1,CF$5)</f>
        <v/>
      </c>
      <c r="CG12" s="25">
        <f>INDEX(Trees!$D$50:$M$50,1,CG$4)*INDEX(Curves!$D$18:$O$18,1,CG$5)</f>
        <v/>
      </c>
      <c r="CH12" s="25">
        <f>INDEX(Trees!$D$50:$M$50,1,CH$4)*INDEX(Curves!$D$18:$O$18,1,CH$5)</f>
        <v/>
      </c>
      <c r="CI12" s="25">
        <f>INDEX(Trees!$D$50:$M$50,1,CI$4)*INDEX(Curves!$D$18:$O$18,1,CI$5)</f>
        <v/>
      </c>
      <c r="CJ12" s="25">
        <f>INDEX(Trees!$D$50:$M$50,1,CJ$4)*INDEX(Curves!$D$18:$O$18,1,CJ$5)</f>
        <v/>
      </c>
      <c r="CK12" s="25">
        <f>INDEX(Trees!$D$50:$M$50,1,CK$4)*INDEX(Curves!$D$18:$O$18,1,CK$5)</f>
        <v/>
      </c>
      <c r="CL12" s="25">
        <f>INDEX(Trees!$D$50:$M$50,1,CL$4)*INDEX(Curves!$D$18:$O$18,1,CL$5)</f>
        <v/>
      </c>
      <c r="CM12" s="25">
        <f>INDEX(Trees!$D$50:$M$50,1,CM$4)*INDEX(Curves!$D$18:$O$18,1,CM$5)</f>
        <v/>
      </c>
      <c r="CN12" s="25">
        <f>INDEX(Trees!$D$50:$M$50,1,CN$4)*INDEX(Curves!$D$18:$O$18,1,CN$5)</f>
        <v/>
      </c>
      <c r="CO12" s="25">
        <f>INDEX(Trees!$D$50:$M$50,1,CO$4)*INDEX(Curves!$D$18:$O$18,1,CO$5)</f>
        <v/>
      </c>
      <c r="CP12" s="25">
        <f>INDEX(Trees!$D$50:$M$50,1,CP$4)*INDEX(Curves!$D$18:$O$18,1,CP$5)</f>
        <v/>
      </c>
      <c r="CQ12" s="25">
        <f>INDEX(Trees!$D$50:$M$50,1,CQ$4)*INDEX(Curves!$D$18:$O$18,1,CQ$5)</f>
        <v/>
      </c>
      <c r="CR12" s="25">
        <f>INDEX(Trees!$D$50:$M$50,1,CR$4)*INDEX(Curves!$D$18:$O$18,1,CR$5)</f>
        <v/>
      </c>
      <c r="CS12" s="25">
        <f>INDEX(Trees!$D$50:$M$50,1,CS$4)*INDEX(Curves!$D$18:$O$18,1,CS$5)</f>
        <v/>
      </c>
      <c r="CT12" s="25">
        <f>INDEX(Trees!$D$50:$M$50,1,CT$4)*INDEX(Curves!$D$18:$O$18,1,CT$5)</f>
        <v/>
      </c>
      <c r="CU12" s="25">
        <f>INDEX(Trees!$D$50:$M$50,1,CU$4)*INDEX(Curves!$D$18:$O$18,1,CU$5)</f>
        <v/>
      </c>
      <c r="CV12" s="25">
        <f>INDEX(Trees!$D$50:$M$50,1,CV$4)*INDEX(Curves!$D$18:$O$18,1,CV$5)</f>
        <v/>
      </c>
      <c r="CW12" s="25">
        <f>INDEX(Trees!$D$50:$M$50,1,CW$4)*INDEX(Curves!$D$18:$O$18,1,CW$5)</f>
        <v/>
      </c>
      <c r="CX12" s="25">
        <f>INDEX(Trees!$D$50:$M$50,1,CX$4)*INDEX(Curves!$D$18:$O$18,1,CX$5)</f>
        <v/>
      </c>
      <c r="CY12" s="25">
        <f>INDEX(Trees!$D$50:$M$50,1,CY$4)*INDEX(Curves!$D$18:$O$18,1,CY$5)</f>
        <v/>
      </c>
      <c r="CZ12" s="25">
        <f>INDEX(Trees!$D$50:$M$50,1,CZ$4)*INDEX(Curves!$D$18:$O$18,1,CZ$5)</f>
        <v/>
      </c>
      <c r="DA12" s="25">
        <f>INDEX(Trees!$D$50:$M$50,1,DA$4)*INDEX(Curves!$D$18:$O$18,1,DA$5)</f>
        <v/>
      </c>
      <c r="DB12" s="25">
        <f>INDEX(Trees!$D$50:$M$50,1,DB$4)*INDEX(Curves!$D$18:$O$18,1,DB$5)</f>
        <v/>
      </c>
      <c r="DC12" s="25">
        <f>INDEX(Trees!$D$50:$M$50,1,DC$4)*INDEX(Curves!$D$18:$O$18,1,DC$5)</f>
        <v/>
      </c>
      <c r="DD12" s="25">
        <f>INDEX(Trees!$D$50:$M$50,1,DD$4)*INDEX(Curves!$D$18:$O$18,1,DD$5)</f>
        <v/>
      </c>
      <c r="DE12" s="25">
        <f>INDEX(Trees!$D$50:$M$50,1,DE$4)*INDEX(Curves!$D$18:$O$18,1,DE$5)</f>
        <v/>
      </c>
      <c r="DF12" s="25">
        <f>INDEX(Trees!$D$50:$M$50,1,DF$4)*INDEX(Curves!$D$18:$O$18,1,DF$5)</f>
        <v/>
      </c>
      <c r="DG12" s="25">
        <f>INDEX(Trees!$D$50:$M$50,1,DG$4)*INDEX(Curves!$D$18:$O$18,1,DG$5)</f>
        <v/>
      </c>
      <c r="DH12" s="25">
        <f>INDEX(Trees!$D$50:$M$50,1,DH$4)*INDEX(Curves!$D$18:$O$18,1,DH$5)</f>
        <v/>
      </c>
      <c r="DI12" s="25">
        <f>INDEX(Trees!$D$50:$M$50,1,DI$4)*INDEX(Curves!$D$18:$O$18,1,DI$5)</f>
        <v/>
      </c>
      <c r="DJ12" s="25">
        <f>INDEX(Trees!$D$50:$M$50,1,DJ$4)*INDEX(Curves!$D$18:$O$18,1,DJ$5)</f>
        <v/>
      </c>
      <c r="DK12" s="25">
        <f>INDEX(Trees!$D$50:$M$50,1,DK$4)*INDEX(Curves!$D$18:$O$18,1,DK$5)</f>
        <v/>
      </c>
      <c r="DL12" s="25">
        <f>INDEX(Trees!$D$50:$M$50,1,DL$4)*INDEX(Curves!$D$18:$O$18,1,DL$5)</f>
        <v/>
      </c>
      <c r="DM12" s="25">
        <f>INDEX(Trees!$D$50:$M$50,1,DM$4)*INDEX(Curves!$D$18:$O$18,1,DM$5)</f>
        <v/>
      </c>
      <c r="DN12" s="25">
        <f>INDEX(Trees!$D$50:$M$50,1,DN$4)*INDEX(Curves!$D$18:$O$18,1,DN$5)</f>
        <v/>
      </c>
      <c r="DO12" s="25">
        <f>INDEX(Trees!$D$50:$M$50,1,DO$4)*INDEX(Curves!$D$18:$O$18,1,DO$5)</f>
        <v/>
      </c>
      <c r="DP12" s="25">
        <f>INDEX(Trees!$D$50:$M$50,1,DP$4)*INDEX(Curves!$D$18:$O$18,1,DP$5)</f>
        <v/>
      </c>
      <c r="DQ12" s="25">
        <f>INDEX(Trees!$D$50:$M$50,1,DQ$4)*INDEX(Curves!$D$18:$O$18,1,DQ$5)</f>
        <v/>
      </c>
      <c r="DR12" s="25">
        <f>INDEX(Trees!$D$50:$M$50,1,DR$4)*INDEX(Curves!$D$18:$O$18,1,DR$5)</f>
        <v/>
      </c>
      <c r="DS12" s="25">
        <f>INDEX(Trees!$D$50:$M$50,1,DS$4)*INDEX(Curves!$D$18:$O$18,1,DS$5)</f>
        <v/>
      </c>
    </row>
    <row r="13">
      <c r="A13" s="2" t="inlineStr">
        <is>
          <t>CF_TTO</t>
        </is>
      </c>
      <c r="B13" s="6" t="inlineStr">
        <is>
          <t>Fruit: Tree tomato</t>
        </is>
      </c>
      <c r="C13" s="2" t="inlineStr">
        <is>
          <t>RWF</t>
        </is>
      </c>
      <c r="D13" s="25">
        <f>INDEX(Trees!$D$62:$M$62,1,D$4)*INDEX(Curves!$D$19:$O$19,1,D$5)</f>
        <v/>
      </c>
      <c r="E13" s="25">
        <f>INDEX(Trees!$D$62:$M$62,1,E$4)*INDEX(Curves!$D$19:$O$19,1,E$5)</f>
        <v/>
      </c>
      <c r="F13" s="25">
        <f>INDEX(Trees!$D$62:$M$62,1,F$4)*INDEX(Curves!$D$19:$O$19,1,F$5)</f>
        <v/>
      </c>
      <c r="G13" s="25">
        <f>INDEX(Trees!$D$62:$M$62,1,G$4)*INDEX(Curves!$D$19:$O$19,1,G$5)</f>
        <v/>
      </c>
      <c r="H13" s="25">
        <f>INDEX(Trees!$D$62:$M$62,1,H$4)*INDEX(Curves!$D$19:$O$19,1,H$5)</f>
        <v/>
      </c>
      <c r="I13" s="25">
        <f>INDEX(Trees!$D$62:$M$62,1,I$4)*INDEX(Curves!$D$19:$O$19,1,I$5)</f>
        <v/>
      </c>
      <c r="J13" s="25">
        <f>INDEX(Trees!$D$62:$M$62,1,J$4)*INDEX(Curves!$D$19:$O$19,1,J$5)</f>
        <v/>
      </c>
      <c r="K13" s="25">
        <f>INDEX(Trees!$D$62:$M$62,1,K$4)*INDEX(Curves!$D$19:$O$19,1,K$5)</f>
        <v/>
      </c>
      <c r="L13" s="25">
        <f>INDEX(Trees!$D$62:$M$62,1,L$4)*INDEX(Curves!$D$19:$O$19,1,L$5)</f>
        <v/>
      </c>
      <c r="M13" s="25">
        <f>INDEX(Trees!$D$62:$M$62,1,M$4)*INDEX(Curves!$D$19:$O$19,1,M$5)</f>
        <v/>
      </c>
      <c r="N13" s="25">
        <f>INDEX(Trees!$D$62:$M$62,1,N$4)*INDEX(Curves!$D$19:$O$19,1,N$5)</f>
        <v/>
      </c>
      <c r="O13" s="25">
        <f>INDEX(Trees!$D$62:$M$62,1,O$4)*INDEX(Curves!$D$19:$O$19,1,O$5)</f>
        <v/>
      </c>
      <c r="P13" s="25">
        <f>INDEX(Trees!$D$62:$M$62,1,P$4)*INDEX(Curves!$D$19:$O$19,1,P$5)</f>
        <v/>
      </c>
      <c r="Q13" s="25">
        <f>INDEX(Trees!$D$62:$M$62,1,Q$4)*INDEX(Curves!$D$19:$O$19,1,Q$5)</f>
        <v/>
      </c>
      <c r="R13" s="25">
        <f>INDEX(Trees!$D$62:$M$62,1,R$4)*INDEX(Curves!$D$19:$O$19,1,R$5)</f>
        <v/>
      </c>
      <c r="S13" s="25">
        <f>INDEX(Trees!$D$62:$M$62,1,S$4)*INDEX(Curves!$D$19:$O$19,1,S$5)</f>
        <v/>
      </c>
      <c r="T13" s="25">
        <f>INDEX(Trees!$D$62:$M$62,1,T$4)*INDEX(Curves!$D$19:$O$19,1,T$5)</f>
        <v/>
      </c>
      <c r="U13" s="25">
        <f>INDEX(Trees!$D$62:$M$62,1,U$4)*INDEX(Curves!$D$19:$O$19,1,U$5)</f>
        <v/>
      </c>
      <c r="V13" s="25">
        <f>INDEX(Trees!$D$62:$M$62,1,V$4)*INDEX(Curves!$D$19:$O$19,1,V$5)</f>
        <v/>
      </c>
      <c r="W13" s="25">
        <f>INDEX(Trees!$D$62:$M$62,1,W$4)*INDEX(Curves!$D$19:$O$19,1,W$5)</f>
        <v/>
      </c>
      <c r="X13" s="25">
        <f>INDEX(Trees!$D$62:$M$62,1,X$4)*INDEX(Curves!$D$19:$O$19,1,X$5)</f>
        <v/>
      </c>
      <c r="Y13" s="25">
        <f>INDEX(Trees!$D$62:$M$62,1,Y$4)*INDEX(Curves!$D$19:$O$19,1,Y$5)</f>
        <v/>
      </c>
      <c r="Z13" s="25">
        <f>INDEX(Trees!$D$62:$M$62,1,Z$4)*INDEX(Curves!$D$19:$O$19,1,Z$5)</f>
        <v/>
      </c>
      <c r="AA13" s="25">
        <f>INDEX(Trees!$D$62:$M$62,1,AA$4)*INDEX(Curves!$D$19:$O$19,1,AA$5)</f>
        <v/>
      </c>
      <c r="AB13" s="25">
        <f>INDEX(Trees!$D$62:$M$62,1,AB$4)*INDEX(Curves!$D$19:$O$19,1,AB$5)</f>
        <v/>
      </c>
      <c r="AC13" s="25">
        <f>INDEX(Trees!$D$62:$M$62,1,AC$4)*INDEX(Curves!$D$19:$O$19,1,AC$5)</f>
        <v/>
      </c>
      <c r="AD13" s="25">
        <f>INDEX(Trees!$D$62:$M$62,1,AD$4)*INDEX(Curves!$D$19:$O$19,1,AD$5)</f>
        <v/>
      </c>
      <c r="AE13" s="25">
        <f>INDEX(Trees!$D$62:$M$62,1,AE$4)*INDEX(Curves!$D$19:$O$19,1,AE$5)</f>
        <v/>
      </c>
      <c r="AF13" s="25">
        <f>INDEX(Trees!$D$62:$M$62,1,AF$4)*INDEX(Curves!$D$19:$O$19,1,AF$5)</f>
        <v/>
      </c>
      <c r="AG13" s="25">
        <f>INDEX(Trees!$D$62:$M$62,1,AG$4)*INDEX(Curves!$D$19:$O$19,1,AG$5)</f>
        <v/>
      </c>
      <c r="AH13" s="25">
        <f>INDEX(Trees!$D$62:$M$62,1,AH$4)*INDEX(Curves!$D$19:$O$19,1,AH$5)</f>
        <v/>
      </c>
      <c r="AI13" s="25">
        <f>INDEX(Trees!$D$62:$M$62,1,AI$4)*INDEX(Curves!$D$19:$O$19,1,AI$5)</f>
        <v/>
      </c>
      <c r="AJ13" s="25">
        <f>INDEX(Trees!$D$62:$M$62,1,AJ$4)*INDEX(Curves!$D$19:$O$19,1,AJ$5)</f>
        <v/>
      </c>
      <c r="AK13" s="25">
        <f>INDEX(Trees!$D$62:$M$62,1,AK$4)*INDEX(Curves!$D$19:$O$19,1,AK$5)</f>
        <v/>
      </c>
      <c r="AL13" s="25">
        <f>INDEX(Trees!$D$62:$M$62,1,AL$4)*INDEX(Curves!$D$19:$O$19,1,AL$5)</f>
        <v/>
      </c>
      <c r="AM13" s="25">
        <f>INDEX(Trees!$D$62:$M$62,1,AM$4)*INDEX(Curves!$D$19:$O$19,1,AM$5)</f>
        <v/>
      </c>
      <c r="AN13" s="25">
        <f>INDEX(Trees!$D$62:$M$62,1,AN$4)*INDEX(Curves!$D$19:$O$19,1,AN$5)</f>
        <v/>
      </c>
      <c r="AO13" s="25">
        <f>INDEX(Trees!$D$62:$M$62,1,AO$4)*INDEX(Curves!$D$19:$O$19,1,AO$5)</f>
        <v/>
      </c>
      <c r="AP13" s="25">
        <f>INDEX(Trees!$D$62:$M$62,1,AP$4)*INDEX(Curves!$D$19:$O$19,1,AP$5)</f>
        <v/>
      </c>
      <c r="AQ13" s="25">
        <f>INDEX(Trees!$D$62:$M$62,1,AQ$4)*INDEX(Curves!$D$19:$O$19,1,AQ$5)</f>
        <v/>
      </c>
      <c r="AR13" s="25">
        <f>INDEX(Trees!$D$62:$M$62,1,AR$4)*INDEX(Curves!$D$19:$O$19,1,AR$5)</f>
        <v/>
      </c>
      <c r="AS13" s="25">
        <f>INDEX(Trees!$D$62:$M$62,1,AS$4)*INDEX(Curves!$D$19:$O$19,1,AS$5)</f>
        <v/>
      </c>
      <c r="AT13" s="25">
        <f>INDEX(Trees!$D$62:$M$62,1,AT$4)*INDEX(Curves!$D$19:$O$19,1,AT$5)</f>
        <v/>
      </c>
      <c r="AU13" s="25">
        <f>INDEX(Trees!$D$62:$M$62,1,AU$4)*INDEX(Curves!$D$19:$O$19,1,AU$5)</f>
        <v/>
      </c>
      <c r="AV13" s="25">
        <f>INDEX(Trees!$D$62:$M$62,1,AV$4)*INDEX(Curves!$D$19:$O$19,1,AV$5)</f>
        <v/>
      </c>
      <c r="AW13" s="25">
        <f>INDEX(Trees!$D$62:$M$62,1,AW$4)*INDEX(Curves!$D$19:$O$19,1,AW$5)</f>
        <v/>
      </c>
      <c r="AX13" s="25">
        <f>INDEX(Trees!$D$62:$M$62,1,AX$4)*INDEX(Curves!$D$19:$O$19,1,AX$5)</f>
        <v/>
      </c>
      <c r="AY13" s="25">
        <f>INDEX(Trees!$D$62:$M$62,1,AY$4)*INDEX(Curves!$D$19:$O$19,1,AY$5)</f>
        <v/>
      </c>
      <c r="AZ13" s="25">
        <f>INDEX(Trees!$D$62:$M$62,1,AZ$4)*INDEX(Curves!$D$19:$O$19,1,AZ$5)</f>
        <v/>
      </c>
      <c r="BA13" s="25">
        <f>INDEX(Trees!$D$62:$M$62,1,BA$4)*INDEX(Curves!$D$19:$O$19,1,BA$5)</f>
        <v/>
      </c>
      <c r="BB13" s="25">
        <f>INDEX(Trees!$D$62:$M$62,1,BB$4)*INDEX(Curves!$D$19:$O$19,1,BB$5)</f>
        <v/>
      </c>
      <c r="BC13" s="25">
        <f>INDEX(Trees!$D$62:$M$62,1,BC$4)*INDEX(Curves!$D$19:$O$19,1,BC$5)</f>
        <v/>
      </c>
      <c r="BD13" s="25">
        <f>INDEX(Trees!$D$62:$M$62,1,BD$4)*INDEX(Curves!$D$19:$O$19,1,BD$5)</f>
        <v/>
      </c>
      <c r="BE13" s="25">
        <f>INDEX(Trees!$D$62:$M$62,1,BE$4)*INDEX(Curves!$D$19:$O$19,1,BE$5)</f>
        <v/>
      </c>
      <c r="BF13" s="25">
        <f>INDEX(Trees!$D$62:$M$62,1,BF$4)*INDEX(Curves!$D$19:$O$19,1,BF$5)</f>
        <v/>
      </c>
      <c r="BG13" s="25">
        <f>INDEX(Trees!$D$62:$M$62,1,BG$4)*INDEX(Curves!$D$19:$O$19,1,BG$5)</f>
        <v/>
      </c>
      <c r="BH13" s="25">
        <f>INDEX(Trees!$D$62:$M$62,1,BH$4)*INDEX(Curves!$D$19:$O$19,1,BH$5)</f>
        <v/>
      </c>
      <c r="BI13" s="25">
        <f>INDEX(Trees!$D$62:$M$62,1,BI$4)*INDEX(Curves!$D$19:$O$19,1,BI$5)</f>
        <v/>
      </c>
      <c r="BJ13" s="25">
        <f>INDEX(Trees!$D$62:$M$62,1,BJ$4)*INDEX(Curves!$D$19:$O$19,1,BJ$5)</f>
        <v/>
      </c>
      <c r="BK13" s="25">
        <f>INDEX(Trees!$D$62:$M$62,1,BK$4)*INDEX(Curves!$D$19:$O$19,1,BK$5)</f>
        <v/>
      </c>
      <c r="BL13" s="25">
        <f>INDEX(Trees!$D$62:$M$62,1,BL$4)*INDEX(Curves!$D$19:$O$19,1,BL$5)</f>
        <v/>
      </c>
      <c r="BM13" s="25">
        <f>INDEX(Trees!$D$62:$M$62,1,BM$4)*INDEX(Curves!$D$19:$O$19,1,BM$5)</f>
        <v/>
      </c>
      <c r="BN13" s="25">
        <f>INDEX(Trees!$D$62:$M$62,1,BN$4)*INDEX(Curves!$D$19:$O$19,1,BN$5)</f>
        <v/>
      </c>
      <c r="BO13" s="25">
        <f>INDEX(Trees!$D$62:$M$62,1,BO$4)*INDEX(Curves!$D$19:$O$19,1,BO$5)</f>
        <v/>
      </c>
      <c r="BP13" s="25">
        <f>INDEX(Trees!$D$62:$M$62,1,BP$4)*INDEX(Curves!$D$19:$O$19,1,BP$5)</f>
        <v/>
      </c>
      <c r="BQ13" s="25">
        <f>INDEX(Trees!$D$62:$M$62,1,BQ$4)*INDEX(Curves!$D$19:$O$19,1,BQ$5)</f>
        <v/>
      </c>
      <c r="BR13" s="25">
        <f>INDEX(Trees!$D$62:$M$62,1,BR$4)*INDEX(Curves!$D$19:$O$19,1,BR$5)</f>
        <v/>
      </c>
      <c r="BS13" s="25">
        <f>INDEX(Trees!$D$62:$M$62,1,BS$4)*INDEX(Curves!$D$19:$O$19,1,BS$5)</f>
        <v/>
      </c>
      <c r="BT13" s="25">
        <f>INDEX(Trees!$D$62:$M$62,1,BT$4)*INDEX(Curves!$D$19:$O$19,1,BT$5)</f>
        <v/>
      </c>
      <c r="BU13" s="25">
        <f>INDEX(Trees!$D$62:$M$62,1,BU$4)*INDEX(Curves!$D$19:$O$19,1,BU$5)</f>
        <v/>
      </c>
      <c r="BV13" s="25">
        <f>INDEX(Trees!$D$62:$M$62,1,BV$4)*INDEX(Curves!$D$19:$O$19,1,BV$5)</f>
        <v/>
      </c>
      <c r="BW13" s="25">
        <f>INDEX(Trees!$D$62:$M$62,1,BW$4)*INDEX(Curves!$D$19:$O$19,1,BW$5)</f>
        <v/>
      </c>
      <c r="BX13" s="25">
        <f>INDEX(Trees!$D$62:$M$62,1,BX$4)*INDEX(Curves!$D$19:$O$19,1,BX$5)</f>
        <v/>
      </c>
      <c r="BY13" s="25">
        <f>INDEX(Trees!$D$62:$M$62,1,BY$4)*INDEX(Curves!$D$19:$O$19,1,BY$5)</f>
        <v/>
      </c>
      <c r="BZ13" s="25">
        <f>INDEX(Trees!$D$62:$M$62,1,BZ$4)*INDEX(Curves!$D$19:$O$19,1,BZ$5)</f>
        <v/>
      </c>
      <c r="CA13" s="25">
        <f>INDEX(Trees!$D$62:$M$62,1,CA$4)*INDEX(Curves!$D$19:$O$19,1,CA$5)</f>
        <v/>
      </c>
      <c r="CB13" s="25">
        <f>INDEX(Trees!$D$62:$M$62,1,CB$4)*INDEX(Curves!$D$19:$O$19,1,CB$5)</f>
        <v/>
      </c>
      <c r="CC13" s="25">
        <f>INDEX(Trees!$D$62:$M$62,1,CC$4)*INDEX(Curves!$D$19:$O$19,1,CC$5)</f>
        <v/>
      </c>
      <c r="CD13" s="25">
        <f>INDEX(Trees!$D$62:$M$62,1,CD$4)*INDEX(Curves!$D$19:$O$19,1,CD$5)</f>
        <v/>
      </c>
      <c r="CE13" s="25">
        <f>INDEX(Trees!$D$62:$M$62,1,CE$4)*INDEX(Curves!$D$19:$O$19,1,CE$5)</f>
        <v/>
      </c>
      <c r="CF13" s="25">
        <f>INDEX(Trees!$D$62:$M$62,1,CF$4)*INDEX(Curves!$D$19:$O$19,1,CF$5)</f>
        <v/>
      </c>
      <c r="CG13" s="25">
        <f>INDEX(Trees!$D$62:$M$62,1,CG$4)*INDEX(Curves!$D$19:$O$19,1,CG$5)</f>
        <v/>
      </c>
      <c r="CH13" s="25">
        <f>INDEX(Trees!$D$62:$M$62,1,CH$4)*INDEX(Curves!$D$19:$O$19,1,CH$5)</f>
        <v/>
      </c>
      <c r="CI13" s="25">
        <f>INDEX(Trees!$D$62:$M$62,1,CI$4)*INDEX(Curves!$D$19:$O$19,1,CI$5)</f>
        <v/>
      </c>
      <c r="CJ13" s="25">
        <f>INDEX(Trees!$D$62:$M$62,1,CJ$4)*INDEX(Curves!$D$19:$O$19,1,CJ$5)</f>
        <v/>
      </c>
      <c r="CK13" s="25">
        <f>INDEX(Trees!$D$62:$M$62,1,CK$4)*INDEX(Curves!$D$19:$O$19,1,CK$5)</f>
        <v/>
      </c>
      <c r="CL13" s="25">
        <f>INDEX(Trees!$D$62:$M$62,1,CL$4)*INDEX(Curves!$D$19:$O$19,1,CL$5)</f>
        <v/>
      </c>
      <c r="CM13" s="25">
        <f>INDEX(Trees!$D$62:$M$62,1,CM$4)*INDEX(Curves!$D$19:$O$19,1,CM$5)</f>
        <v/>
      </c>
      <c r="CN13" s="25">
        <f>INDEX(Trees!$D$62:$M$62,1,CN$4)*INDEX(Curves!$D$19:$O$19,1,CN$5)</f>
        <v/>
      </c>
      <c r="CO13" s="25">
        <f>INDEX(Trees!$D$62:$M$62,1,CO$4)*INDEX(Curves!$D$19:$O$19,1,CO$5)</f>
        <v/>
      </c>
      <c r="CP13" s="25">
        <f>INDEX(Trees!$D$62:$M$62,1,CP$4)*INDEX(Curves!$D$19:$O$19,1,CP$5)</f>
        <v/>
      </c>
      <c r="CQ13" s="25">
        <f>INDEX(Trees!$D$62:$M$62,1,CQ$4)*INDEX(Curves!$D$19:$O$19,1,CQ$5)</f>
        <v/>
      </c>
      <c r="CR13" s="25">
        <f>INDEX(Trees!$D$62:$M$62,1,CR$4)*INDEX(Curves!$D$19:$O$19,1,CR$5)</f>
        <v/>
      </c>
      <c r="CS13" s="25">
        <f>INDEX(Trees!$D$62:$M$62,1,CS$4)*INDEX(Curves!$D$19:$O$19,1,CS$5)</f>
        <v/>
      </c>
      <c r="CT13" s="25">
        <f>INDEX(Trees!$D$62:$M$62,1,CT$4)*INDEX(Curves!$D$19:$O$19,1,CT$5)</f>
        <v/>
      </c>
      <c r="CU13" s="25">
        <f>INDEX(Trees!$D$62:$M$62,1,CU$4)*INDEX(Curves!$D$19:$O$19,1,CU$5)</f>
        <v/>
      </c>
      <c r="CV13" s="25">
        <f>INDEX(Trees!$D$62:$M$62,1,CV$4)*INDEX(Curves!$D$19:$O$19,1,CV$5)</f>
        <v/>
      </c>
      <c r="CW13" s="25">
        <f>INDEX(Trees!$D$62:$M$62,1,CW$4)*INDEX(Curves!$D$19:$O$19,1,CW$5)</f>
        <v/>
      </c>
      <c r="CX13" s="25">
        <f>INDEX(Trees!$D$62:$M$62,1,CX$4)*INDEX(Curves!$D$19:$O$19,1,CX$5)</f>
        <v/>
      </c>
      <c r="CY13" s="25">
        <f>INDEX(Trees!$D$62:$M$62,1,CY$4)*INDEX(Curves!$D$19:$O$19,1,CY$5)</f>
        <v/>
      </c>
      <c r="CZ13" s="25">
        <f>INDEX(Trees!$D$62:$M$62,1,CZ$4)*INDEX(Curves!$D$19:$O$19,1,CZ$5)</f>
        <v/>
      </c>
      <c r="DA13" s="25">
        <f>INDEX(Trees!$D$62:$M$62,1,DA$4)*INDEX(Curves!$D$19:$O$19,1,DA$5)</f>
        <v/>
      </c>
      <c r="DB13" s="25">
        <f>INDEX(Trees!$D$62:$M$62,1,DB$4)*INDEX(Curves!$D$19:$O$19,1,DB$5)</f>
        <v/>
      </c>
      <c r="DC13" s="25">
        <f>INDEX(Trees!$D$62:$M$62,1,DC$4)*INDEX(Curves!$D$19:$O$19,1,DC$5)</f>
        <v/>
      </c>
      <c r="DD13" s="25">
        <f>INDEX(Trees!$D$62:$M$62,1,DD$4)*INDEX(Curves!$D$19:$O$19,1,DD$5)</f>
        <v/>
      </c>
      <c r="DE13" s="25">
        <f>INDEX(Trees!$D$62:$M$62,1,DE$4)*INDEX(Curves!$D$19:$O$19,1,DE$5)</f>
        <v/>
      </c>
      <c r="DF13" s="25">
        <f>INDEX(Trees!$D$62:$M$62,1,DF$4)*INDEX(Curves!$D$19:$O$19,1,DF$5)</f>
        <v/>
      </c>
      <c r="DG13" s="25">
        <f>INDEX(Trees!$D$62:$M$62,1,DG$4)*INDEX(Curves!$D$19:$O$19,1,DG$5)</f>
        <v/>
      </c>
      <c r="DH13" s="25">
        <f>INDEX(Trees!$D$62:$M$62,1,DH$4)*INDEX(Curves!$D$19:$O$19,1,DH$5)</f>
        <v/>
      </c>
      <c r="DI13" s="25">
        <f>INDEX(Trees!$D$62:$M$62,1,DI$4)*INDEX(Curves!$D$19:$O$19,1,DI$5)</f>
        <v/>
      </c>
      <c r="DJ13" s="25">
        <f>INDEX(Trees!$D$62:$M$62,1,DJ$4)*INDEX(Curves!$D$19:$O$19,1,DJ$5)</f>
        <v/>
      </c>
      <c r="DK13" s="25">
        <f>INDEX(Trees!$D$62:$M$62,1,DK$4)*INDEX(Curves!$D$19:$O$19,1,DK$5)</f>
        <v/>
      </c>
      <c r="DL13" s="25">
        <f>INDEX(Trees!$D$62:$M$62,1,DL$4)*INDEX(Curves!$D$19:$O$19,1,DL$5)</f>
        <v/>
      </c>
      <c r="DM13" s="25">
        <f>INDEX(Trees!$D$62:$M$62,1,DM$4)*INDEX(Curves!$D$19:$O$19,1,DM$5)</f>
        <v/>
      </c>
      <c r="DN13" s="25">
        <f>INDEX(Trees!$D$62:$M$62,1,DN$4)*INDEX(Curves!$D$19:$O$19,1,DN$5)</f>
        <v/>
      </c>
      <c r="DO13" s="25">
        <f>INDEX(Trees!$D$62:$M$62,1,DO$4)*INDEX(Curves!$D$19:$O$19,1,DO$5)</f>
        <v/>
      </c>
      <c r="DP13" s="25">
        <f>INDEX(Trees!$D$62:$M$62,1,DP$4)*INDEX(Curves!$D$19:$O$19,1,DP$5)</f>
        <v/>
      </c>
      <c r="DQ13" s="25">
        <f>INDEX(Trees!$D$62:$M$62,1,DQ$4)*INDEX(Curves!$D$19:$O$19,1,DQ$5)</f>
        <v/>
      </c>
      <c r="DR13" s="25">
        <f>INDEX(Trees!$D$62:$M$62,1,DR$4)*INDEX(Curves!$D$19:$O$19,1,DR$5)</f>
        <v/>
      </c>
      <c r="DS13" s="25">
        <f>INDEX(Trees!$D$62:$M$62,1,DS$4)*INDEX(Curves!$D$19:$O$19,1,DS$5)</f>
        <v/>
      </c>
    </row>
    <row r="14">
      <c r="A14" s="2" t="inlineStr">
        <is>
          <t>CF_CIT</t>
        </is>
      </c>
      <c r="B14" s="6" t="inlineStr">
        <is>
          <t>Fruit: Citrus</t>
        </is>
      </c>
      <c r="C14" s="2" t="inlineStr">
        <is>
          <t>RWF</t>
        </is>
      </c>
      <c r="D14" s="25">
        <f>INDEX(Trees!$D$74:$M$74,1,D$4)*INDEX(Curves!$D$20:$O$20,1,D$5)</f>
        <v/>
      </c>
      <c r="E14" s="25">
        <f>INDEX(Trees!$D$74:$M$74,1,E$4)*INDEX(Curves!$D$20:$O$20,1,E$5)</f>
        <v/>
      </c>
      <c r="F14" s="25">
        <f>INDEX(Trees!$D$74:$M$74,1,F$4)*INDEX(Curves!$D$20:$O$20,1,F$5)</f>
        <v/>
      </c>
      <c r="G14" s="25">
        <f>INDEX(Trees!$D$74:$M$74,1,G$4)*INDEX(Curves!$D$20:$O$20,1,G$5)</f>
        <v/>
      </c>
      <c r="H14" s="25">
        <f>INDEX(Trees!$D$74:$M$74,1,H$4)*INDEX(Curves!$D$20:$O$20,1,H$5)</f>
        <v/>
      </c>
      <c r="I14" s="25">
        <f>INDEX(Trees!$D$74:$M$74,1,I$4)*INDEX(Curves!$D$20:$O$20,1,I$5)</f>
        <v/>
      </c>
      <c r="J14" s="25">
        <f>INDEX(Trees!$D$74:$M$74,1,J$4)*INDEX(Curves!$D$20:$O$20,1,J$5)</f>
        <v/>
      </c>
      <c r="K14" s="25">
        <f>INDEX(Trees!$D$74:$M$74,1,K$4)*INDEX(Curves!$D$20:$O$20,1,K$5)</f>
        <v/>
      </c>
      <c r="L14" s="25">
        <f>INDEX(Trees!$D$74:$M$74,1,L$4)*INDEX(Curves!$D$20:$O$20,1,L$5)</f>
        <v/>
      </c>
      <c r="M14" s="25">
        <f>INDEX(Trees!$D$74:$M$74,1,M$4)*INDEX(Curves!$D$20:$O$20,1,M$5)</f>
        <v/>
      </c>
      <c r="N14" s="25">
        <f>INDEX(Trees!$D$74:$M$74,1,N$4)*INDEX(Curves!$D$20:$O$20,1,N$5)</f>
        <v/>
      </c>
      <c r="O14" s="25">
        <f>INDEX(Trees!$D$74:$M$74,1,O$4)*INDEX(Curves!$D$20:$O$20,1,O$5)</f>
        <v/>
      </c>
      <c r="P14" s="25">
        <f>INDEX(Trees!$D$74:$M$74,1,P$4)*INDEX(Curves!$D$20:$O$20,1,P$5)</f>
        <v/>
      </c>
      <c r="Q14" s="25">
        <f>INDEX(Trees!$D$74:$M$74,1,Q$4)*INDEX(Curves!$D$20:$O$20,1,Q$5)</f>
        <v/>
      </c>
      <c r="R14" s="25">
        <f>INDEX(Trees!$D$74:$M$74,1,R$4)*INDEX(Curves!$D$20:$O$20,1,R$5)</f>
        <v/>
      </c>
      <c r="S14" s="25">
        <f>INDEX(Trees!$D$74:$M$74,1,S$4)*INDEX(Curves!$D$20:$O$20,1,S$5)</f>
        <v/>
      </c>
      <c r="T14" s="25">
        <f>INDEX(Trees!$D$74:$M$74,1,T$4)*INDEX(Curves!$D$20:$O$20,1,T$5)</f>
        <v/>
      </c>
      <c r="U14" s="25">
        <f>INDEX(Trees!$D$74:$M$74,1,U$4)*INDEX(Curves!$D$20:$O$20,1,U$5)</f>
        <v/>
      </c>
      <c r="V14" s="25">
        <f>INDEX(Trees!$D$74:$M$74,1,V$4)*INDEX(Curves!$D$20:$O$20,1,V$5)</f>
        <v/>
      </c>
      <c r="W14" s="25">
        <f>INDEX(Trees!$D$74:$M$74,1,W$4)*INDEX(Curves!$D$20:$O$20,1,W$5)</f>
        <v/>
      </c>
      <c r="X14" s="25">
        <f>INDEX(Trees!$D$74:$M$74,1,X$4)*INDEX(Curves!$D$20:$O$20,1,X$5)</f>
        <v/>
      </c>
      <c r="Y14" s="25">
        <f>INDEX(Trees!$D$74:$M$74,1,Y$4)*INDEX(Curves!$D$20:$O$20,1,Y$5)</f>
        <v/>
      </c>
      <c r="Z14" s="25">
        <f>INDEX(Trees!$D$74:$M$74,1,Z$4)*INDEX(Curves!$D$20:$O$20,1,Z$5)</f>
        <v/>
      </c>
      <c r="AA14" s="25">
        <f>INDEX(Trees!$D$74:$M$74,1,AA$4)*INDEX(Curves!$D$20:$O$20,1,AA$5)</f>
        <v/>
      </c>
      <c r="AB14" s="25">
        <f>INDEX(Trees!$D$74:$M$74,1,AB$4)*INDEX(Curves!$D$20:$O$20,1,AB$5)</f>
        <v/>
      </c>
      <c r="AC14" s="25">
        <f>INDEX(Trees!$D$74:$M$74,1,AC$4)*INDEX(Curves!$D$20:$O$20,1,AC$5)</f>
        <v/>
      </c>
      <c r="AD14" s="25">
        <f>INDEX(Trees!$D$74:$M$74,1,AD$4)*INDEX(Curves!$D$20:$O$20,1,AD$5)</f>
        <v/>
      </c>
      <c r="AE14" s="25">
        <f>INDEX(Trees!$D$74:$M$74,1,AE$4)*INDEX(Curves!$D$20:$O$20,1,AE$5)</f>
        <v/>
      </c>
      <c r="AF14" s="25">
        <f>INDEX(Trees!$D$74:$M$74,1,AF$4)*INDEX(Curves!$D$20:$O$20,1,AF$5)</f>
        <v/>
      </c>
      <c r="AG14" s="25">
        <f>INDEX(Trees!$D$74:$M$74,1,AG$4)*INDEX(Curves!$D$20:$O$20,1,AG$5)</f>
        <v/>
      </c>
      <c r="AH14" s="25">
        <f>INDEX(Trees!$D$74:$M$74,1,AH$4)*INDEX(Curves!$D$20:$O$20,1,AH$5)</f>
        <v/>
      </c>
      <c r="AI14" s="25">
        <f>INDEX(Trees!$D$74:$M$74,1,AI$4)*INDEX(Curves!$D$20:$O$20,1,AI$5)</f>
        <v/>
      </c>
      <c r="AJ14" s="25">
        <f>INDEX(Trees!$D$74:$M$74,1,AJ$4)*INDEX(Curves!$D$20:$O$20,1,AJ$5)</f>
        <v/>
      </c>
      <c r="AK14" s="25">
        <f>INDEX(Trees!$D$74:$M$74,1,AK$4)*INDEX(Curves!$D$20:$O$20,1,AK$5)</f>
        <v/>
      </c>
      <c r="AL14" s="25">
        <f>INDEX(Trees!$D$74:$M$74,1,AL$4)*INDEX(Curves!$D$20:$O$20,1,AL$5)</f>
        <v/>
      </c>
      <c r="AM14" s="25">
        <f>INDEX(Trees!$D$74:$M$74,1,AM$4)*INDEX(Curves!$D$20:$O$20,1,AM$5)</f>
        <v/>
      </c>
      <c r="AN14" s="25">
        <f>INDEX(Trees!$D$74:$M$74,1,AN$4)*INDEX(Curves!$D$20:$O$20,1,AN$5)</f>
        <v/>
      </c>
      <c r="AO14" s="25">
        <f>INDEX(Trees!$D$74:$M$74,1,AO$4)*INDEX(Curves!$D$20:$O$20,1,AO$5)</f>
        <v/>
      </c>
      <c r="AP14" s="25">
        <f>INDEX(Trees!$D$74:$M$74,1,AP$4)*INDEX(Curves!$D$20:$O$20,1,AP$5)</f>
        <v/>
      </c>
      <c r="AQ14" s="25">
        <f>INDEX(Trees!$D$74:$M$74,1,AQ$4)*INDEX(Curves!$D$20:$O$20,1,AQ$5)</f>
        <v/>
      </c>
      <c r="AR14" s="25">
        <f>INDEX(Trees!$D$74:$M$74,1,AR$4)*INDEX(Curves!$D$20:$O$20,1,AR$5)</f>
        <v/>
      </c>
      <c r="AS14" s="25">
        <f>INDEX(Trees!$D$74:$M$74,1,AS$4)*INDEX(Curves!$D$20:$O$20,1,AS$5)</f>
        <v/>
      </c>
      <c r="AT14" s="25">
        <f>INDEX(Trees!$D$74:$M$74,1,AT$4)*INDEX(Curves!$D$20:$O$20,1,AT$5)</f>
        <v/>
      </c>
      <c r="AU14" s="25">
        <f>INDEX(Trees!$D$74:$M$74,1,AU$4)*INDEX(Curves!$D$20:$O$20,1,AU$5)</f>
        <v/>
      </c>
      <c r="AV14" s="25">
        <f>INDEX(Trees!$D$74:$M$74,1,AV$4)*INDEX(Curves!$D$20:$O$20,1,AV$5)</f>
        <v/>
      </c>
      <c r="AW14" s="25">
        <f>INDEX(Trees!$D$74:$M$74,1,AW$4)*INDEX(Curves!$D$20:$O$20,1,AW$5)</f>
        <v/>
      </c>
      <c r="AX14" s="25">
        <f>INDEX(Trees!$D$74:$M$74,1,AX$4)*INDEX(Curves!$D$20:$O$20,1,AX$5)</f>
        <v/>
      </c>
      <c r="AY14" s="25">
        <f>INDEX(Trees!$D$74:$M$74,1,AY$4)*INDEX(Curves!$D$20:$O$20,1,AY$5)</f>
        <v/>
      </c>
      <c r="AZ14" s="25">
        <f>INDEX(Trees!$D$74:$M$74,1,AZ$4)*INDEX(Curves!$D$20:$O$20,1,AZ$5)</f>
        <v/>
      </c>
      <c r="BA14" s="25">
        <f>INDEX(Trees!$D$74:$M$74,1,BA$4)*INDEX(Curves!$D$20:$O$20,1,BA$5)</f>
        <v/>
      </c>
      <c r="BB14" s="25">
        <f>INDEX(Trees!$D$74:$M$74,1,BB$4)*INDEX(Curves!$D$20:$O$20,1,BB$5)</f>
        <v/>
      </c>
      <c r="BC14" s="25">
        <f>INDEX(Trees!$D$74:$M$74,1,BC$4)*INDEX(Curves!$D$20:$O$20,1,BC$5)</f>
        <v/>
      </c>
      <c r="BD14" s="25">
        <f>INDEX(Trees!$D$74:$M$74,1,BD$4)*INDEX(Curves!$D$20:$O$20,1,BD$5)</f>
        <v/>
      </c>
      <c r="BE14" s="25">
        <f>INDEX(Trees!$D$74:$M$74,1,BE$4)*INDEX(Curves!$D$20:$O$20,1,BE$5)</f>
        <v/>
      </c>
      <c r="BF14" s="25">
        <f>INDEX(Trees!$D$74:$M$74,1,BF$4)*INDEX(Curves!$D$20:$O$20,1,BF$5)</f>
        <v/>
      </c>
      <c r="BG14" s="25">
        <f>INDEX(Trees!$D$74:$M$74,1,BG$4)*INDEX(Curves!$D$20:$O$20,1,BG$5)</f>
        <v/>
      </c>
      <c r="BH14" s="25">
        <f>INDEX(Trees!$D$74:$M$74,1,BH$4)*INDEX(Curves!$D$20:$O$20,1,BH$5)</f>
        <v/>
      </c>
      <c r="BI14" s="25">
        <f>INDEX(Trees!$D$74:$M$74,1,BI$4)*INDEX(Curves!$D$20:$O$20,1,BI$5)</f>
        <v/>
      </c>
      <c r="BJ14" s="25">
        <f>INDEX(Trees!$D$74:$M$74,1,BJ$4)*INDEX(Curves!$D$20:$O$20,1,BJ$5)</f>
        <v/>
      </c>
      <c r="BK14" s="25">
        <f>INDEX(Trees!$D$74:$M$74,1,BK$4)*INDEX(Curves!$D$20:$O$20,1,BK$5)</f>
        <v/>
      </c>
      <c r="BL14" s="25">
        <f>INDEX(Trees!$D$74:$M$74,1,BL$4)*INDEX(Curves!$D$20:$O$20,1,BL$5)</f>
        <v/>
      </c>
      <c r="BM14" s="25">
        <f>INDEX(Trees!$D$74:$M$74,1,BM$4)*INDEX(Curves!$D$20:$O$20,1,BM$5)</f>
        <v/>
      </c>
      <c r="BN14" s="25">
        <f>INDEX(Trees!$D$74:$M$74,1,BN$4)*INDEX(Curves!$D$20:$O$20,1,BN$5)</f>
        <v/>
      </c>
      <c r="BO14" s="25">
        <f>INDEX(Trees!$D$74:$M$74,1,BO$4)*INDEX(Curves!$D$20:$O$20,1,BO$5)</f>
        <v/>
      </c>
      <c r="BP14" s="25">
        <f>INDEX(Trees!$D$74:$M$74,1,BP$4)*INDEX(Curves!$D$20:$O$20,1,BP$5)</f>
        <v/>
      </c>
      <c r="BQ14" s="25">
        <f>INDEX(Trees!$D$74:$M$74,1,BQ$4)*INDEX(Curves!$D$20:$O$20,1,BQ$5)</f>
        <v/>
      </c>
      <c r="BR14" s="25">
        <f>INDEX(Trees!$D$74:$M$74,1,BR$4)*INDEX(Curves!$D$20:$O$20,1,BR$5)</f>
        <v/>
      </c>
      <c r="BS14" s="25">
        <f>INDEX(Trees!$D$74:$M$74,1,BS$4)*INDEX(Curves!$D$20:$O$20,1,BS$5)</f>
        <v/>
      </c>
      <c r="BT14" s="25">
        <f>INDEX(Trees!$D$74:$M$74,1,BT$4)*INDEX(Curves!$D$20:$O$20,1,BT$5)</f>
        <v/>
      </c>
      <c r="BU14" s="25">
        <f>INDEX(Trees!$D$74:$M$74,1,BU$4)*INDEX(Curves!$D$20:$O$20,1,BU$5)</f>
        <v/>
      </c>
      <c r="BV14" s="25">
        <f>INDEX(Trees!$D$74:$M$74,1,BV$4)*INDEX(Curves!$D$20:$O$20,1,BV$5)</f>
        <v/>
      </c>
      <c r="BW14" s="25">
        <f>INDEX(Trees!$D$74:$M$74,1,BW$4)*INDEX(Curves!$D$20:$O$20,1,BW$5)</f>
        <v/>
      </c>
      <c r="BX14" s="25">
        <f>INDEX(Trees!$D$74:$M$74,1,BX$4)*INDEX(Curves!$D$20:$O$20,1,BX$5)</f>
        <v/>
      </c>
      <c r="BY14" s="25">
        <f>INDEX(Trees!$D$74:$M$74,1,BY$4)*INDEX(Curves!$D$20:$O$20,1,BY$5)</f>
        <v/>
      </c>
      <c r="BZ14" s="25">
        <f>INDEX(Trees!$D$74:$M$74,1,BZ$4)*INDEX(Curves!$D$20:$O$20,1,BZ$5)</f>
        <v/>
      </c>
      <c r="CA14" s="25">
        <f>INDEX(Trees!$D$74:$M$74,1,CA$4)*INDEX(Curves!$D$20:$O$20,1,CA$5)</f>
        <v/>
      </c>
      <c r="CB14" s="25">
        <f>INDEX(Trees!$D$74:$M$74,1,CB$4)*INDEX(Curves!$D$20:$O$20,1,CB$5)</f>
        <v/>
      </c>
      <c r="CC14" s="25">
        <f>INDEX(Trees!$D$74:$M$74,1,CC$4)*INDEX(Curves!$D$20:$O$20,1,CC$5)</f>
        <v/>
      </c>
      <c r="CD14" s="25">
        <f>INDEX(Trees!$D$74:$M$74,1,CD$4)*INDEX(Curves!$D$20:$O$20,1,CD$5)</f>
        <v/>
      </c>
      <c r="CE14" s="25">
        <f>INDEX(Trees!$D$74:$M$74,1,CE$4)*INDEX(Curves!$D$20:$O$20,1,CE$5)</f>
        <v/>
      </c>
      <c r="CF14" s="25">
        <f>INDEX(Trees!$D$74:$M$74,1,CF$4)*INDEX(Curves!$D$20:$O$20,1,CF$5)</f>
        <v/>
      </c>
      <c r="CG14" s="25">
        <f>INDEX(Trees!$D$74:$M$74,1,CG$4)*INDEX(Curves!$D$20:$O$20,1,CG$5)</f>
        <v/>
      </c>
      <c r="CH14" s="25">
        <f>INDEX(Trees!$D$74:$M$74,1,CH$4)*INDEX(Curves!$D$20:$O$20,1,CH$5)</f>
        <v/>
      </c>
      <c r="CI14" s="25">
        <f>INDEX(Trees!$D$74:$M$74,1,CI$4)*INDEX(Curves!$D$20:$O$20,1,CI$5)</f>
        <v/>
      </c>
      <c r="CJ14" s="25">
        <f>INDEX(Trees!$D$74:$M$74,1,CJ$4)*INDEX(Curves!$D$20:$O$20,1,CJ$5)</f>
        <v/>
      </c>
      <c r="CK14" s="25">
        <f>INDEX(Trees!$D$74:$M$74,1,CK$4)*INDEX(Curves!$D$20:$O$20,1,CK$5)</f>
        <v/>
      </c>
      <c r="CL14" s="25">
        <f>INDEX(Trees!$D$74:$M$74,1,CL$4)*INDEX(Curves!$D$20:$O$20,1,CL$5)</f>
        <v/>
      </c>
      <c r="CM14" s="25">
        <f>INDEX(Trees!$D$74:$M$74,1,CM$4)*INDEX(Curves!$D$20:$O$20,1,CM$5)</f>
        <v/>
      </c>
      <c r="CN14" s="25">
        <f>INDEX(Trees!$D$74:$M$74,1,CN$4)*INDEX(Curves!$D$20:$O$20,1,CN$5)</f>
        <v/>
      </c>
      <c r="CO14" s="25">
        <f>INDEX(Trees!$D$74:$M$74,1,CO$4)*INDEX(Curves!$D$20:$O$20,1,CO$5)</f>
        <v/>
      </c>
      <c r="CP14" s="25">
        <f>INDEX(Trees!$D$74:$M$74,1,CP$4)*INDEX(Curves!$D$20:$O$20,1,CP$5)</f>
        <v/>
      </c>
      <c r="CQ14" s="25">
        <f>INDEX(Trees!$D$74:$M$74,1,CQ$4)*INDEX(Curves!$D$20:$O$20,1,CQ$5)</f>
        <v/>
      </c>
      <c r="CR14" s="25">
        <f>INDEX(Trees!$D$74:$M$74,1,CR$4)*INDEX(Curves!$D$20:$O$20,1,CR$5)</f>
        <v/>
      </c>
      <c r="CS14" s="25">
        <f>INDEX(Trees!$D$74:$M$74,1,CS$4)*INDEX(Curves!$D$20:$O$20,1,CS$5)</f>
        <v/>
      </c>
      <c r="CT14" s="25">
        <f>INDEX(Trees!$D$74:$M$74,1,CT$4)*INDEX(Curves!$D$20:$O$20,1,CT$5)</f>
        <v/>
      </c>
      <c r="CU14" s="25">
        <f>INDEX(Trees!$D$74:$M$74,1,CU$4)*INDEX(Curves!$D$20:$O$20,1,CU$5)</f>
        <v/>
      </c>
      <c r="CV14" s="25">
        <f>INDEX(Trees!$D$74:$M$74,1,CV$4)*INDEX(Curves!$D$20:$O$20,1,CV$5)</f>
        <v/>
      </c>
      <c r="CW14" s="25">
        <f>INDEX(Trees!$D$74:$M$74,1,CW$4)*INDEX(Curves!$D$20:$O$20,1,CW$5)</f>
        <v/>
      </c>
      <c r="CX14" s="25">
        <f>INDEX(Trees!$D$74:$M$74,1,CX$4)*INDEX(Curves!$D$20:$O$20,1,CX$5)</f>
        <v/>
      </c>
      <c r="CY14" s="25">
        <f>INDEX(Trees!$D$74:$M$74,1,CY$4)*INDEX(Curves!$D$20:$O$20,1,CY$5)</f>
        <v/>
      </c>
      <c r="CZ14" s="25">
        <f>INDEX(Trees!$D$74:$M$74,1,CZ$4)*INDEX(Curves!$D$20:$O$20,1,CZ$5)</f>
        <v/>
      </c>
      <c r="DA14" s="25">
        <f>INDEX(Trees!$D$74:$M$74,1,DA$4)*INDEX(Curves!$D$20:$O$20,1,DA$5)</f>
        <v/>
      </c>
      <c r="DB14" s="25">
        <f>INDEX(Trees!$D$74:$M$74,1,DB$4)*INDEX(Curves!$D$20:$O$20,1,DB$5)</f>
        <v/>
      </c>
      <c r="DC14" s="25">
        <f>INDEX(Trees!$D$74:$M$74,1,DC$4)*INDEX(Curves!$D$20:$O$20,1,DC$5)</f>
        <v/>
      </c>
      <c r="DD14" s="25">
        <f>INDEX(Trees!$D$74:$M$74,1,DD$4)*INDEX(Curves!$D$20:$O$20,1,DD$5)</f>
        <v/>
      </c>
      <c r="DE14" s="25">
        <f>INDEX(Trees!$D$74:$M$74,1,DE$4)*INDEX(Curves!$D$20:$O$20,1,DE$5)</f>
        <v/>
      </c>
      <c r="DF14" s="25">
        <f>INDEX(Trees!$D$74:$M$74,1,DF$4)*INDEX(Curves!$D$20:$O$20,1,DF$5)</f>
        <v/>
      </c>
      <c r="DG14" s="25">
        <f>INDEX(Trees!$D$74:$M$74,1,DG$4)*INDEX(Curves!$D$20:$O$20,1,DG$5)</f>
        <v/>
      </c>
      <c r="DH14" s="25">
        <f>INDEX(Trees!$D$74:$M$74,1,DH$4)*INDEX(Curves!$D$20:$O$20,1,DH$5)</f>
        <v/>
      </c>
      <c r="DI14" s="25">
        <f>INDEX(Trees!$D$74:$M$74,1,DI$4)*INDEX(Curves!$D$20:$O$20,1,DI$5)</f>
        <v/>
      </c>
      <c r="DJ14" s="25">
        <f>INDEX(Trees!$D$74:$M$74,1,DJ$4)*INDEX(Curves!$D$20:$O$20,1,DJ$5)</f>
        <v/>
      </c>
      <c r="DK14" s="25">
        <f>INDEX(Trees!$D$74:$M$74,1,DK$4)*INDEX(Curves!$D$20:$O$20,1,DK$5)</f>
        <v/>
      </c>
      <c r="DL14" s="25">
        <f>INDEX(Trees!$D$74:$M$74,1,DL$4)*INDEX(Curves!$D$20:$O$20,1,DL$5)</f>
        <v/>
      </c>
      <c r="DM14" s="25">
        <f>INDEX(Trees!$D$74:$M$74,1,DM$4)*INDEX(Curves!$D$20:$O$20,1,DM$5)</f>
        <v/>
      </c>
      <c r="DN14" s="25">
        <f>INDEX(Trees!$D$74:$M$74,1,DN$4)*INDEX(Curves!$D$20:$O$20,1,DN$5)</f>
        <v/>
      </c>
      <c r="DO14" s="25">
        <f>INDEX(Trees!$D$74:$M$74,1,DO$4)*INDEX(Curves!$D$20:$O$20,1,DO$5)</f>
        <v/>
      </c>
      <c r="DP14" s="25">
        <f>INDEX(Trees!$D$74:$M$74,1,DP$4)*INDEX(Curves!$D$20:$O$20,1,DP$5)</f>
        <v/>
      </c>
      <c r="DQ14" s="25">
        <f>INDEX(Trees!$D$74:$M$74,1,DQ$4)*INDEX(Curves!$D$20:$O$20,1,DQ$5)</f>
        <v/>
      </c>
      <c r="DR14" s="25">
        <f>INDEX(Trees!$D$74:$M$74,1,DR$4)*INDEX(Curves!$D$20:$O$20,1,DR$5)</f>
        <v/>
      </c>
      <c r="DS14" s="25">
        <f>INDEX(Trees!$D$74:$M$74,1,DS$4)*INDEX(Curves!$D$20:$O$20,1,DS$5)</f>
        <v/>
      </c>
    </row>
    <row r="15">
      <c r="A15" s="2" t="inlineStr">
        <is>
          <t>CF_MAC</t>
        </is>
      </c>
      <c r="B15" s="6" t="inlineStr">
        <is>
          <t>Fruit: Macadamia (nut in shell)</t>
        </is>
      </c>
      <c r="C15" s="2" t="inlineStr">
        <is>
          <t>RWF</t>
        </is>
      </c>
      <c r="D15" s="25">
        <f>INDEX(Trees!$D$86:$M$86,1,D$4)*INDEX(Curves!$D$21:$O$21,1,D$5)</f>
        <v/>
      </c>
      <c r="E15" s="25">
        <f>INDEX(Trees!$D$86:$M$86,1,E$4)*INDEX(Curves!$D$21:$O$21,1,E$5)</f>
        <v/>
      </c>
      <c r="F15" s="25">
        <f>INDEX(Trees!$D$86:$M$86,1,F$4)*INDEX(Curves!$D$21:$O$21,1,F$5)</f>
        <v/>
      </c>
      <c r="G15" s="25">
        <f>INDEX(Trees!$D$86:$M$86,1,G$4)*INDEX(Curves!$D$21:$O$21,1,G$5)</f>
        <v/>
      </c>
      <c r="H15" s="25">
        <f>INDEX(Trees!$D$86:$M$86,1,H$4)*INDEX(Curves!$D$21:$O$21,1,H$5)</f>
        <v/>
      </c>
      <c r="I15" s="25">
        <f>INDEX(Trees!$D$86:$M$86,1,I$4)*INDEX(Curves!$D$21:$O$21,1,I$5)</f>
        <v/>
      </c>
      <c r="J15" s="25">
        <f>INDEX(Trees!$D$86:$M$86,1,J$4)*INDEX(Curves!$D$21:$O$21,1,J$5)</f>
        <v/>
      </c>
      <c r="K15" s="25">
        <f>INDEX(Trees!$D$86:$M$86,1,K$4)*INDEX(Curves!$D$21:$O$21,1,K$5)</f>
        <v/>
      </c>
      <c r="L15" s="25">
        <f>INDEX(Trees!$D$86:$M$86,1,L$4)*INDEX(Curves!$D$21:$O$21,1,L$5)</f>
        <v/>
      </c>
      <c r="M15" s="25">
        <f>INDEX(Trees!$D$86:$M$86,1,M$4)*INDEX(Curves!$D$21:$O$21,1,M$5)</f>
        <v/>
      </c>
      <c r="N15" s="25">
        <f>INDEX(Trees!$D$86:$M$86,1,N$4)*INDEX(Curves!$D$21:$O$21,1,N$5)</f>
        <v/>
      </c>
      <c r="O15" s="25">
        <f>INDEX(Trees!$D$86:$M$86,1,O$4)*INDEX(Curves!$D$21:$O$21,1,O$5)</f>
        <v/>
      </c>
      <c r="P15" s="25">
        <f>INDEX(Trees!$D$86:$M$86,1,P$4)*INDEX(Curves!$D$21:$O$21,1,P$5)</f>
        <v/>
      </c>
      <c r="Q15" s="25">
        <f>INDEX(Trees!$D$86:$M$86,1,Q$4)*INDEX(Curves!$D$21:$O$21,1,Q$5)</f>
        <v/>
      </c>
      <c r="R15" s="25">
        <f>INDEX(Trees!$D$86:$M$86,1,R$4)*INDEX(Curves!$D$21:$O$21,1,R$5)</f>
        <v/>
      </c>
      <c r="S15" s="25">
        <f>INDEX(Trees!$D$86:$M$86,1,S$4)*INDEX(Curves!$D$21:$O$21,1,S$5)</f>
        <v/>
      </c>
      <c r="T15" s="25">
        <f>INDEX(Trees!$D$86:$M$86,1,T$4)*INDEX(Curves!$D$21:$O$21,1,T$5)</f>
        <v/>
      </c>
      <c r="U15" s="25">
        <f>INDEX(Trees!$D$86:$M$86,1,U$4)*INDEX(Curves!$D$21:$O$21,1,U$5)</f>
        <v/>
      </c>
      <c r="V15" s="25">
        <f>INDEX(Trees!$D$86:$M$86,1,V$4)*INDEX(Curves!$D$21:$O$21,1,V$5)</f>
        <v/>
      </c>
      <c r="W15" s="25">
        <f>INDEX(Trees!$D$86:$M$86,1,W$4)*INDEX(Curves!$D$21:$O$21,1,W$5)</f>
        <v/>
      </c>
      <c r="X15" s="25">
        <f>INDEX(Trees!$D$86:$M$86,1,X$4)*INDEX(Curves!$D$21:$O$21,1,X$5)</f>
        <v/>
      </c>
      <c r="Y15" s="25">
        <f>INDEX(Trees!$D$86:$M$86,1,Y$4)*INDEX(Curves!$D$21:$O$21,1,Y$5)</f>
        <v/>
      </c>
      <c r="Z15" s="25">
        <f>INDEX(Trees!$D$86:$M$86,1,Z$4)*INDEX(Curves!$D$21:$O$21,1,Z$5)</f>
        <v/>
      </c>
      <c r="AA15" s="25">
        <f>INDEX(Trees!$D$86:$M$86,1,AA$4)*INDEX(Curves!$D$21:$O$21,1,AA$5)</f>
        <v/>
      </c>
      <c r="AB15" s="25">
        <f>INDEX(Trees!$D$86:$M$86,1,AB$4)*INDEX(Curves!$D$21:$O$21,1,AB$5)</f>
        <v/>
      </c>
      <c r="AC15" s="25">
        <f>INDEX(Trees!$D$86:$M$86,1,AC$4)*INDEX(Curves!$D$21:$O$21,1,AC$5)</f>
        <v/>
      </c>
      <c r="AD15" s="25">
        <f>INDEX(Trees!$D$86:$M$86,1,AD$4)*INDEX(Curves!$D$21:$O$21,1,AD$5)</f>
        <v/>
      </c>
      <c r="AE15" s="25">
        <f>INDEX(Trees!$D$86:$M$86,1,AE$4)*INDEX(Curves!$D$21:$O$21,1,AE$5)</f>
        <v/>
      </c>
      <c r="AF15" s="25">
        <f>INDEX(Trees!$D$86:$M$86,1,AF$4)*INDEX(Curves!$D$21:$O$21,1,AF$5)</f>
        <v/>
      </c>
      <c r="AG15" s="25">
        <f>INDEX(Trees!$D$86:$M$86,1,AG$4)*INDEX(Curves!$D$21:$O$21,1,AG$5)</f>
        <v/>
      </c>
      <c r="AH15" s="25">
        <f>INDEX(Trees!$D$86:$M$86,1,AH$4)*INDEX(Curves!$D$21:$O$21,1,AH$5)</f>
        <v/>
      </c>
      <c r="AI15" s="25">
        <f>INDEX(Trees!$D$86:$M$86,1,AI$4)*INDEX(Curves!$D$21:$O$21,1,AI$5)</f>
        <v/>
      </c>
      <c r="AJ15" s="25">
        <f>INDEX(Trees!$D$86:$M$86,1,AJ$4)*INDEX(Curves!$D$21:$O$21,1,AJ$5)</f>
        <v/>
      </c>
      <c r="AK15" s="25">
        <f>INDEX(Trees!$D$86:$M$86,1,AK$4)*INDEX(Curves!$D$21:$O$21,1,AK$5)</f>
        <v/>
      </c>
      <c r="AL15" s="25">
        <f>INDEX(Trees!$D$86:$M$86,1,AL$4)*INDEX(Curves!$D$21:$O$21,1,AL$5)</f>
        <v/>
      </c>
      <c r="AM15" s="25">
        <f>INDEX(Trees!$D$86:$M$86,1,AM$4)*INDEX(Curves!$D$21:$O$21,1,AM$5)</f>
        <v/>
      </c>
      <c r="AN15" s="25">
        <f>INDEX(Trees!$D$86:$M$86,1,AN$4)*INDEX(Curves!$D$21:$O$21,1,AN$5)</f>
        <v/>
      </c>
      <c r="AO15" s="25">
        <f>INDEX(Trees!$D$86:$M$86,1,AO$4)*INDEX(Curves!$D$21:$O$21,1,AO$5)</f>
        <v/>
      </c>
      <c r="AP15" s="25">
        <f>INDEX(Trees!$D$86:$M$86,1,AP$4)*INDEX(Curves!$D$21:$O$21,1,AP$5)</f>
        <v/>
      </c>
      <c r="AQ15" s="25">
        <f>INDEX(Trees!$D$86:$M$86,1,AQ$4)*INDEX(Curves!$D$21:$O$21,1,AQ$5)</f>
        <v/>
      </c>
      <c r="AR15" s="25">
        <f>INDEX(Trees!$D$86:$M$86,1,AR$4)*INDEX(Curves!$D$21:$O$21,1,AR$5)</f>
        <v/>
      </c>
      <c r="AS15" s="25">
        <f>INDEX(Trees!$D$86:$M$86,1,AS$4)*INDEX(Curves!$D$21:$O$21,1,AS$5)</f>
        <v/>
      </c>
      <c r="AT15" s="25">
        <f>INDEX(Trees!$D$86:$M$86,1,AT$4)*INDEX(Curves!$D$21:$O$21,1,AT$5)</f>
        <v/>
      </c>
      <c r="AU15" s="25">
        <f>INDEX(Trees!$D$86:$M$86,1,AU$4)*INDEX(Curves!$D$21:$O$21,1,AU$5)</f>
        <v/>
      </c>
      <c r="AV15" s="25">
        <f>INDEX(Trees!$D$86:$M$86,1,AV$4)*INDEX(Curves!$D$21:$O$21,1,AV$5)</f>
        <v/>
      </c>
      <c r="AW15" s="25">
        <f>INDEX(Trees!$D$86:$M$86,1,AW$4)*INDEX(Curves!$D$21:$O$21,1,AW$5)</f>
        <v/>
      </c>
      <c r="AX15" s="25">
        <f>INDEX(Trees!$D$86:$M$86,1,AX$4)*INDEX(Curves!$D$21:$O$21,1,AX$5)</f>
        <v/>
      </c>
      <c r="AY15" s="25">
        <f>INDEX(Trees!$D$86:$M$86,1,AY$4)*INDEX(Curves!$D$21:$O$21,1,AY$5)</f>
        <v/>
      </c>
      <c r="AZ15" s="25">
        <f>INDEX(Trees!$D$86:$M$86,1,AZ$4)*INDEX(Curves!$D$21:$O$21,1,AZ$5)</f>
        <v/>
      </c>
      <c r="BA15" s="25">
        <f>INDEX(Trees!$D$86:$M$86,1,BA$4)*INDEX(Curves!$D$21:$O$21,1,BA$5)</f>
        <v/>
      </c>
      <c r="BB15" s="25">
        <f>INDEX(Trees!$D$86:$M$86,1,BB$4)*INDEX(Curves!$D$21:$O$21,1,BB$5)</f>
        <v/>
      </c>
      <c r="BC15" s="25">
        <f>INDEX(Trees!$D$86:$M$86,1,BC$4)*INDEX(Curves!$D$21:$O$21,1,BC$5)</f>
        <v/>
      </c>
      <c r="BD15" s="25">
        <f>INDEX(Trees!$D$86:$M$86,1,BD$4)*INDEX(Curves!$D$21:$O$21,1,BD$5)</f>
        <v/>
      </c>
      <c r="BE15" s="25">
        <f>INDEX(Trees!$D$86:$M$86,1,BE$4)*INDEX(Curves!$D$21:$O$21,1,BE$5)</f>
        <v/>
      </c>
      <c r="BF15" s="25">
        <f>INDEX(Trees!$D$86:$M$86,1,BF$4)*INDEX(Curves!$D$21:$O$21,1,BF$5)</f>
        <v/>
      </c>
      <c r="BG15" s="25">
        <f>INDEX(Trees!$D$86:$M$86,1,BG$4)*INDEX(Curves!$D$21:$O$21,1,BG$5)</f>
        <v/>
      </c>
      <c r="BH15" s="25">
        <f>INDEX(Trees!$D$86:$M$86,1,BH$4)*INDEX(Curves!$D$21:$O$21,1,BH$5)</f>
        <v/>
      </c>
      <c r="BI15" s="25">
        <f>INDEX(Trees!$D$86:$M$86,1,BI$4)*INDEX(Curves!$D$21:$O$21,1,BI$5)</f>
        <v/>
      </c>
      <c r="BJ15" s="25">
        <f>INDEX(Trees!$D$86:$M$86,1,BJ$4)*INDEX(Curves!$D$21:$O$21,1,BJ$5)</f>
        <v/>
      </c>
      <c r="BK15" s="25">
        <f>INDEX(Trees!$D$86:$M$86,1,BK$4)*INDEX(Curves!$D$21:$O$21,1,BK$5)</f>
        <v/>
      </c>
      <c r="BL15" s="25">
        <f>INDEX(Trees!$D$86:$M$86,1,BL$4)*INDEX(Curves!$D$21:$O$21,1,BL$5)</f>
        <v/>
      </c>
      <c r="BM15" s="25">
        <f>INDEX(Trees!$D$86:$M$86,1,BM$4)*INDEX(Curves!$D$21:$O$21,1,BM$5)</f>
        <v/>
      </c>
      <c r="BN15" s="25">
        <f>INDEX(Trees!$D$86:$M$86,1,BN$4)*INDEX(Curves!$D$21:$O$21,1,BN$5)</f>
        <v/>
      </c>
      <c r="BO15" s="25">
        <f>INDEX(Trees!$D$86:$M$86,1,BO$4)*INDEX(Curves!$D$21:$O$21,1,BO$5)</f>
        <v/>
      </c>
      <c r="BP15" s="25">
        <f>INDEX(Trees!$D$86:$M$86,1,BP$4)*INDEX(Curves!$D$21:$O$21,1,BP$5)</f>
        <v/>
      </c>
      <c r="BQ15" s="25">
        <f>INDEX(Trees!$D$86:$M$86,1,BQ$4)*INDEX(Curves!$D$21:$O$21,1,BQ$5)</f>
        <v/>
      </c>
      <c r="BR15" s="25">
        <f>INDEX(Trees!$D$86:$M$86,1,BR$4)*INDEX(Curves!$D$21:$O$21,1,BR$5)</f>
        <v/>
      </c>
      <c r="BS15" s="25">
        <f>INDEX(Trees!$D$86:$M$86,1,BS$4)*INDEX(Curves!$D$21:$O$21,1,BS$5)</f>
        <v/>
      </c>
      <c r="BT15" s="25">
        <f>INDEX(Trees!$D$86:$M$86,1,BT$4)*INDEX(Curves!$D$21:$O$21,1,BT$5)</f>
        <v/>
      </c>
      <c r="BU15" s="25">
        <f>INDEX(Trees!$D$86:$M$86,1,BU$4)*INDEX(Curves!$D$21:$O$21,1,BU$5)</f>
        <v/>
      </c>
      <c r="BV15" s="25">
        <f>INDEX(Trees!$D$86:$M$86,1,BV$4)*INDEX(Curves!$D$21:$O$21,1,BV$5)</f>
        <v/>
      </c>
      <c r="BW15" s="25">
        <f>INDEX(Trees!$D$86:$M$86,1,BW$4)*INDEX(Curves!$D$21:$O$21,1,BW$5)</f>
        <v/>
      </c>
      <c r="BX15" s="25">
        <f>INDEX(Trees!$D$86:$M$86,1,BX$4)*INDEX(Curves!$D$21:$O$21,1,BX$5)</f>
        <v/>
      </c>
      <c r="BY15" s="25">
        <f>INDEX(Trees!$D$86:$M$86,1,BY$4)*INDEX(Curves!$D$21:$O$21,1,BY$5)</f>
        <v/>
      </c>
      <c r="BZ15" s="25">
        <f>INDEX(Trees!$D$86:$M$86,1,BZ$4)*INDEX(Curves!$D$21:$O$21,1,BZ$5)</f>
        <v/>
      </c>
      <c r="CA15" s="25">
        <f>INDEX(Trees!$D$86:$M$86,1,CA$4)*INDEX(Curves!$D$21:$O$21,1,CA$5)</f>
        <v/>
      </c>
      <c r="CB15" s="25">
        <f>INDEX(Trees!$D$86:$M$86,1,CB$4)*INDEX(Curves!$D$21:$O$21,1,CB$5)</f>
        <v/>
      </c>
      <c r="CC15" s="25">
        <f>INDEX(Trees!$D$86:$M$86,1,CC$4)*INDEX(Curves!$D$21:$O$21,1,CC$5)</f>
        <v/>
      </c>
      <c r="CD15" s="25">
        <f>INDEX(Trees!$D$86:$M$86,1,CD$4)*INDEX(Curves!$D$21:$O$21,1,CD$5)</f>
        <v/>
      </c>
      <c r="CE15" s="25">
        <f>INDEX(Trees!$D$86:$M$86,1,CE$4)*INDEX(Curves!$D$21:$O$21,1,CE$5)</f>
        <v/>
      </c>
      <c r="CF15" s="25">
        <f>INDEX(Trees!$D$86:$M$86,1,CF$4)*INDEX(Curves!$D$21:$O$21,1,CF$5)</f>
        <v/>
      </c>
      <c r="CG15" s="25">
        <f>INDEX(Trees!$D$86:$M$86,1,CG$4)*INDEX(Curves!$D$21:$O$21,1,CG$5)</f>
        <v/>
      </c>
      <c r="CH15" s="25">
        <f>INDEX(Trees!$D$86:$M$86,1,CH$4)*INDEX(Curves!$D$21:$O$21,1,CH$5)</f>
        <v/>
      </c>
      <c r="CI15" s="25">
        <f>INDEX(Trees!$D$86:$M$86,1,CI$4)*INDEX(Curves!$D$21:$O$21,1,CI$5)</f>
        <v/>
      </c>
      <c r="CJ15" s="25">
        <f>INDEX(Trees!$D$86:$M$86,1,CJ$4)*INDEX(Curves!$D$21:$O$21,1,CJ$5)</f>
        <v/>
      </c>
      <c r="CK15" s="25">
        <f>INDEX(Trees!$D$86:$M$86,1,CK$4)*INDEX(Curves!$D$21:$O$21,1,CK$5)</f>
        <v/>
      </c>
      <c r="CL15" s="25">
        <f>INDEX(Trees!$D$86:$M$86,1,CL$4)*INDEX(Curves!$D$21:$O$21,1,CL$5)</f>
        <v/>
      </c>
      <c r="CM15" s="25">
        <f>INDEX(Trees!$D$86:$M$86,1,CM$4)*INDEX(Curves!$D$21:$O$21,1,CM$5)</f>
        <v/>
      </c>
      <c r="CN15" s="25">
        <f>INDEX(Trees!$D$86:$M$86,1,CN$4)*INDEX(Curves!$D$21:$O$21,1,CN$5)</f>
        <v/>
      </c>
      <c r="CO15" s="25">
        <f>INDEX(Trees!$D$86:$M$86,1,CO$4)*INDEX(Curves!$D$21:$O$21,1,CO$5)</f>
        <v/>
      </c>
      <c r="CP15" s="25">
        <f>INDEX(Trees!$D$86:$M$86,1,CP$4)*INDEX(Curves!$D$21:$O$21,1,CP$5)</f>
        <v/>
      </c>
      <c r="CQ15" s="25">
        <f>INDEX(Trees!$D$86:$M$86,1,CQ$4)*INDEX(Curves!$D$21:$O$21,1,CQ$5)</f>
        <v/>
      </c>
      <c r="CR15" s="25">
        <f>INDEX(Trees!$D$86:$M$86,1,CR$4)*INDEX(Curves!$D$21:$O$21,1,CR$5)</f>
        <v/>
      </c>
      <c r="CS15" s="25">
        <f>INDEX(Trees!$D$86:$M$86,1,CS$4)*INDEX(Curves!$D$21:$O$21,1,CS$5)</f>
        <v/>
      </c>
      <c r="CT15" s="25">
        <f>INDEX(Trees!$D$86:$M$86,1,CT$4)*INDEX(Curves!$D$21:$O$21,1,CT$5)</f>
        <v/>
      </c>
      <c r="CU15" s="25">
        <f>INDEX(Trees!$D$86:$M$86,1,CU$4)*INDEX(Curves!$D$21:$O$21,1,CU$5)</f>
        <v/>
      </c>
      <c r="CV15" s="25">
        <f>INDEX(Trees!$D$86:$M$86,1,CV$4)*INDEX(Curves!$D$21:$O$21,1,CV$5)</f>
        <v/>
      </c>
      <c r="CW15" s="25">
        <f>INDEX(Trees!$D$86:$M$86,1,CW$4)*INDEX(Curves!$D$21:$O$21,1,CW$5)</f>
        <v/>
      </c>
      <c r="CX15" s="25">
        <f>INDEX(Trees!$D$86:$M$86,1,CX$4)*INDEX(Curves!$D$21:$O$21,1,CX$5)</f>
        <v/>
      </c>
      <c r="CY15" s="25">
        <f>INDEX(Trees!$D$86:$M$86,1,CY$4)*INDEX(Curves!$D$21:$O$21,1,CY$5)</f>
        <v/>
      </c>
      <c r="CZ15" s="25">
        <f>INDEX(Trees!$D$86:$M$86,1,CZ$4)*INDEX(Curves!$D$21:$O$21,1,CZ$5)</f>
        <v/>
      </c>
      <c r="DA15" s="25">
        <f>INDEX(Trees!$D$86:$M$86,1,DA$4)*INDEX(Curves!$D$21:$O$21,1,DA$5)</f>
        <v/>
      </c>
      <c r="DB15" s="25">
        <f>INDEX(Trees!$D$86:$M$86,1,DB$4)*INDEX(Curves!$D$21:$O$21,1,DB$5)</f>
        <v/>
      </c>
      <c r="DC15" s="25">
        <f>INDEX(Trees!$D$86:$M$86,1,DC$4)*INDEX(Curves!$D$21:$O$21,1,DC$5)</f>
        <v/>
      </c>
      <c r="DD15" s="25">
        <f>INDEX(Trees!$D$86:$M$86,1,DD$4)*INDEX(Curves!$D$21:$O$21,1,DD$5)</f>
        <v/>
      </c>
      <c r="DE15" s="25">
        <f>INDEX(Trees!$D$86:$M$86,1,DE$4)*INDEX(Curves!$D$21:$O$21,1,DE$5)</f>
        <v/>
      </c>
      <c r="DF15" s="25">
        <f>INDEX(Trees!$D$86:$M$86,1,DF$4)*INDEX(Curves!$D$21:$O$21,1,DF$5)</f>
        <v/>
      </c>
      <c r="DG15" s="25">
        <f>INDEX(Trees!$D$86:$M$86,1,DG$4)*INDEX(Curves!$D$21:$O$21,1,DG$5)</f>
        <v/>
      </c>
      <c r="DH15" s="25">
        <f>INDEX(Trees!$D$86:$M$86,1,DH$4)*INDEX(Curves!$D$21:$O$21,1,DH$5)</f>
        <v/>
      </c>
      <c r="DI15" s="25">
        <f>INDEX(Trees!$D$86:$M$86,1,DI$4)*INDEX(Curves!$D$21:$O$21,1,DI$5)</f>
        <v/>
      </c>
      <c r="DJ15" s="25">
        <f>INDEX(Trees!$D$86:$M$86,1,DJ$4)*INDEX(Curves!$D$21:$O$21,1,DJ$5)</f>
        <v/>
      </c>
      <c r="DK15" s="25">
        <f>INDEX(Trees!$D$86:$M$86,1,DK$4)*INDEX(Curves!$D$21:$O$21,1,DK$5)</f>
        <v/>
      </c>
      <c r="DL15" s="25">
        <f>INDEX(Trees!$D$86:$M$86,1,DL$4)*INDEX(Curves!$D$21:$O$21,1,DL$5)</f>
        <v/>
      </c>
      <c r="DM15" s="25">
        <f>INDEX(Trees!$D$86:$M$86,1,DM$4)*INDEX(Curves!$D$21:$O$21,1,DM$5)</f>
        <v/>
      </c>
      <c r="DN15" s="25">
        <f>INDEX(Trees!$D$86:$M$86,1,DN$4)*INDEX(Curves!$D$21:$O$21,1,DN$5)</f>
        <v/>
      </c>
      <c r="DO15" s="25">
        <f>INDEX(Trees!$D$86:$M$86,1,DO$4)*INDEX(Curves!$D$21:$O$21,1,DO$5)</f>
        <v/>
      </c>
      <c r="DP15" s="25">
        <f>INDEX(Trees!$D$86:$M$86,1,DP$4)*INDEX(Curves!$D$21:$O$21,1,DP$5)</f>
        <v/>
      </c>
      <c r="DQ15" s="25">
        <f>INDEX(Trees!$D$86:$M$86,1,DQ$4)*INDEX(Curves!$D$21:$O$21,1,DQ$5)</f>
        <v/>
      </c>
      <c r="DR15" s="25">
        <f>INDEX(Trees!$D$86:$M$86,1,DR$4)*INDEX(Curves!$D$21:$O$21,1,DR$5)</f>
        <v/>
      </c>
      <c r="DS15" s="25">
        <f>INDEX(Trees!$D$86:$M$86,1,DS$4)*INDEX(Curves!$D$21:$O$21,1,DS$5)</f>
        <v/>
      </c>
    </row>
    <row r="16">
      <c r="A16" s="2" t="inlineStr">
        <is>
          <t>CF_TIM</t>
        </is>
      </c>
      <c r="B16" s="6" t="inlineStr">
        <is>
          <t>Boundary poles</t>
        </is>
      </c>
      <c r="C16" s="2" t="inlineStr">
        <is>
          <t>RWF</t>
        </is>
      </c>
      <c r="D16" s="25">
        <f>INDEX(Trees!$D$94:$M$94,1,D$4)/12</f>
        <v/>
      </c>
      <c r="E16" s="25">
        <f>INDEX(Trees!$D$94:$M$94,1,E$4)/12</f>
        <v/>
      </c>
      <c r="F16" s="25">
        <f>INDEX(Trees!$D$94:$M$94,1,F$4)/12</f>
        <v/>
      </c>
      <c r="G16" s="25">
        <f>INDEX(Trees!$D$94:$M$94,1,G$4)/12</f>
        <v/>
      </c>
      <c r="H16" s="25">
        <f>INDEX(Trees!$D$94:$M$94,1,H$4)/12</f>
        <v/>
      </c>
      <c r="I16" s="25">
        <f>INDEX(Trees!$D$94:$M$94,1,I$4)/12</f>
        <v/>
      </c>
      <c r="J16" s="25">
        <f>INDEX(Trees!$D$94:$M$94,1,J$4)/12</f>
        <v/>
      </c>
      <c r="K16" s="25">
        <f>INDEX(Trees!$D$94:$M$94,1,K$4)/12</f>
        <v/>
      </c>
      <c r="L16" s="25">
        <f>INDEX(Trees!$D$94:$M$94,1,L$4)/12</f>
        <v/>
      </c>
      <c r="M16" s="25">
        <f>INDEX(Trees!$D$94:$M$94,1,M$4)/12</f>
        <v/>
      </c>
      <c r="N16" s="25">
        <f>INDEX(Trees!$D$94:$M$94,1,N$4)/12</f>
        <v/>
      </c>
      <c r="O16" s="25">
        <f>INDEX(Trees!$D$94:$M$94,1,O$4)/12</f>
        <v/>
      </c>
      <c r="P16" s="25">
        <f>INDEX(Trees!$D$94:$M$94,1,P$4)/12</f>
        <v/>
      </c>
      <c r="Q16" s="25">
        <f>INDEX(Trees!$D$94:$M$94,1,Q$4)/12</f>
        <v/>
      </c>
      <c r="R16" s="25">
        <f>INDEX(Trees!$D$94:$M$94,1,R$4)/12</f>
        <v/>
      </c>
      <c r="S16" s="25">
        <f>INDEX(Trees!$D$94:$M$94,1,S$4)/12</f>
        <v/>
      </c>
      <c r="T16" s="25">
        <f>INDEX(Trees!$D$94:$M$94,1,T$4)/12</f>
        <v/>
      </c>
      <c r="U16" s="25">
        <f>INDEX(Trees!$D$94:$M$94,1,U$4)/12</f>
        <v/>
      </c>
      <c r="V16" s="25">
        <f>INDEX(Trees!$D$94:$M$94,1,V$4)/12</f>
        <v/>
      </c>
      <c r="W16" s="25">
        <f>INDEX(Trees!$D$94:$M$94,1,W$4)/12</f>
        <v/>
      </c>
      <c r="X16" s="25">
        <f>INDEX(Trees!$D$94:$M$94,1,X$4)/12</f>
        <v/>
      </c>
      <c r="Y16" s="25">
        <f>INDEX(Trees!$D$94:$M$94,1,Y$4)/12</f>
        <v/>
      </c>
      <c r="Z16" s="25">
        <f>INDEX(Trees!$D$94:$M$94,1,Z$4)/12</f>
        <v/>
      </c>
      <c r="AA16" s="25">
        <f>INDEX(Trees!$D$94:$M$94,1,AA$4)/12</f>
        <v/>
      </c>
      <c r="AB16" s="25">
        <f>INDEX(Trees!$D$94:$M$94,1,AB$4)/12</f>
        <v/>
      </c>
      <c r="AC16" s="25">
        <f>INDEX(Trees!$D$94:$M$94,1,AC$4)/12</f>
        <v/>
      </c>
      <c r="AD16" s="25">
        <f>INDEX(Trees!$D$94:$M$94,1,AD$4)/12</f>
        <v/>
      </c>
      <c r="AE16" s="25">
        <f>INDEX(Trees!$D$94:$M$94,1,AE$4)/12</f>
        <v/>
      </c>
      <c r="AF16" s="25">
        <f>INDEX(Trees!$D$94:$M$94,1,AF$4)/12</f>
        <v/>
      </c>
      <c r="AG16" s="25">
        <f>INDEX(Trees!$D$94:$M$94,1,AG$4)/12</f>
        <v/>
      </c>
      <c r="AH16" s="25">
        <f>INDEX(Trees!$D$94:$M$94,1,AH$4)/12</f>
        <v/>
      </c>
      <c r="AI16" s="25">
        <f>INDEX(Trees!$D$94:$M$94,1,AI$4)/12</f>
        <v/>
      </c>
      <c r="AJ16" s="25">
        <f>INDEX(Trees!$D$94:$M$94,1,AJ$4)/12</f>
        <v/>
      </c>
      <c r="AK16" s="25">
        <f>INDEX(Trees!$D$94:$M$94,1,AK$4)/12</f>
        <v/>
      </c>
      <c r="AL16" s="25">
        <f>INDEX(Trees!$D$94:$M$94,1,AL$4)/12</f>
        <v/>
      </c>
      <c r="AM16" s="25">
        <f>INDEX(Trees!$D$94:$M$94,1,AM$4)/12</f>
        <v/>
      </c>
      <c r="AN16" s="25">
        <f>INDEX(Trees!$D$94:$M$94,1,AN$4)/12</f>
        <v/>
      </c>
      <c r="AO16" s="25">
        <f>INDEX(Trees!$D$94:$M$94,1,AO$4)/12</f>
        <v/>
      </c>
      <c r="AP16" s="25">
        <f>INDEX(Trees!$D$94:$M$94,1,AP$4)/12</f>
        <v/>
      </c>
      <c r="AQ16" s="25">
        <f>INDEX(Trees!$D$94:$M$94,1,AQ$4)/12</f>
        <v/>
      </c>
      <c r="AR16" s="25">
        <f>INDEX(Trees!$D$94:$M$94,1,AR$4)/12</f>
        <v/>
      </c>
      <c r="AS16" s="25">
        <f>INDEX(Trees!$D$94:$M$94,1,AS$4)/12</f>
        <v/>
      </c>
      <c r="AT16" s="25">
        <f>INDEX(Trees!$D$94:$M$94,1,AT$4)/12</f>
        <v/>
      </c>
      <c r="AU16" s="25">
        <f>INDEX(Trees!$D$94:$M$94,1,AU$4)/12</f>
        <v/>
      </c>
      <c r="AV16" s="25">
        <f>INDEX(Trees!$D$94:$M$94,1,AV$4)/12</f>
        <v/>
      </c>
      <c r="AW16" s="25">
        <f>INDEX(Trees!$D$94:$M$94,1,AW$4)/12</f>
        <v/>
      </c>
      <c r="AX16" s="25">
        <f>INDEX(Trees!$D$94:$M$94,1,AX$4)/12</f>
        <v/>
      </c>
      <c r="AY16" s="25">
        <f>INDEX(Trees!$D$94:$M$94,1,AY$4)/12</f>
        <v/>
      </c>
      <c r="AZ16" s="25">
        <f>INDEX(Trees!$D$94:$M$94,1,AZ$4)/12</f>
        <v/>
      </c>
      <c r="BA16" s="25">
        <f>INDEX(Trees!$D$94:$M$94,1,BA$4)/12</f>
        <v/>
      </c>
      <c r="BB16" s="25">
        <f>INDEX(Trees!$D$94:$M$94,1,BB$4)/12</f>
        <v/>
      </c>
      <c r="BC16" s="25">
        <f>INDEX(Trees!$D$94:$M$94,1,BC$4)/12</f>
        <v/>
      </c>
      <c r="BD16" s="25">
        <f>INDEX(Trees!$D$94:$M$94,1,BD$4)/12</f>
        <v/>
      </c>
      <c r="BE16" s="25">
        <f>INDEX(Trees!$D$94:$M$94,1,BE$4)/12</f>
        <v/>
      </c>
      <c r="BF16" s="25">
        <f>INDEX(Trees!$D$94:$M$94,1,BF$4)/12</f>
        <v/>
      </c>
      <c r="BG16" s="25">
        <f>INDEX(Trees!$D$94:$M$94,1,BG$4)/12</f>
        <v/>
      </c>
      <c r="BH16" s="25">
        <f>INDEX(Trees!$D$94:$M$94,1,BH$4)/12</f>
        <v/>
      </c>
      <c r="BI16" s="25">
        <f>INDEX(Trees!$D$94:$M$94,1,BI$4)/12</f>
        <v/>
      </c>
      <c r="BJ16" s="25">
        <f>INDEX(Trees!$D$94:$M$94,1,BJ$4)/12</f>
        <v/>
      </c>
      <c r="BK16" s="25">
        <f>INDEX(Trees!$D$94:$M$94,1,BK$4)/12</f>
        <v/>
      </c>
      <c r="BL16" s="25">
        <f>INDEX(Trees!$D$94:$M$94,1,BL$4)/12</f>
        <v/>
      </c>
      <c r="BM16" s="25">
        <f>INDEX(Trees!$D$94:$M$94,1,BM$4)/12</f>
        <v/>
      </c>
      <c r="BN16" s="25">
        <f>INDEX(Trees!$D$94:$M$94,1,BN$4)/12</f>
        <v/>
      </c>
      <c r="BO16" s="25">
        <f>INDEX(Trees!$D$94:$M$94,1,BO$4)/12</f>
        <v/>
      </c>
      <c r="BP16" s="25">
        <f>INDEX(Trees!$D$94:$M$94,1,BP$4)/12</f>
        <v/>
      </c>
      <c r="BQ16" s="25">
        <f>INDEX(Trees!$D$94:$M$94,1,BQ$4)/12</f>
        <v/>
      </c>
      <c r="BR16" s="25">
        <f>INDEX(Trees!$D$94:$M$94,1,BR$4)/12</f>
        <v/>
      </c>
      <c r="BS16" s="25">
        <f>INDEX(Trees!$D$94:$M$94,1,BS$4)/12</f>
        <v/>
      </c>
      <c r="BT16" s="25">
        <f>INDEX(Trees!$D$94:$M$94,1,BT$4)/12</f>
        <v/>
      </c>
      <c r="BU16" s="25">
        <f>INDEX(Trees!$D$94:$M$94,1,BU$4)/12</f>
        <v/>
      </c>
      <c r="BV16" s="25">
        <f>INDEX(Trees!$D$94:$M$94,1,BV$4)/12</f>
        <v/>
      </c>
      <c r="BW16" s="25">
        <f>INDEX(Trees!$D$94:$M$94,1,BW$4)/12</f>
        <v/>
      </c>
      <c r="BX16" s="25">
        <f>INDEX(Trees!$D$94:$M$94,1,BX$4)/12</f>
        <v/>
      </c>
      <c r="BY16" s="25">
        <f>INDEX(Trees!$D$94:$M$94,1,BY$4)/12</f>
        <v/>
      </c>
      <c r="BZ16" s="25">
        <f>INDEX(Trees!$D$94:$M$94,1,BZ$4)/12</f>
        <v/>
      </c>
      <c r="CA16" s="25">
        <f>INDEX(Trees!$D$94:$M$94,1,CA$4)/12</f>
        <v/>
      </c>
      <c r="CB16" s="25">
        <f>INDEX(Trees!$D$94:$M$94,1,CB$4)/12</f>
        <v/>
      </c>
      <c r="CC16" s="25">
        <f>INDEX(Trees!$D$94:$M$94,1,CC$4)/12</f>
        <v/>
      </c>
      <c r="CD16" s="25">
        <f>INDEX(Trees!$D$94:$M$94,1,CD$4)/12</f>
        <v/>
      </c>
      <c r="CE16" s="25">
        <f>INDEX(Trees!$D$94:$M$94,1,CE$4)/12</f>
        <v/>
      </c>
      <c r="CF16" s="25">
        <f>INDEX(Trees!$D$94:$M$94,1,CF$4)/12</f>
        <v/>
      </c>
      <c r="CG16" s="25">
        <f>INDEX(Trees!$D$94:$M$94,1,CG$4)/12</f>
        <v/>
      </c>
      <c r="CH16" s="25">
        <f>INDEX(Trees!$D$94:$M$94,1,CH$4)/12</f>
        <v/>
      </c>
      <c r="CI16" s="25">
        <f>INDEX(Trees!$D$94:$M$94,1,CI$4)/12</f>
        <v/>
      </c>
      <c r="CJ16" s="25">
        <f>INDEX(Trees!$D$94:$M$94,1,CJ$4)/12</f>
        <v/>
      </c>
      <c r="CK16" s="25">
        <f>INDEX(Trees!$D$94:$M$94,1,CK$4)/12</f>
        <v/>
      </c>
      <c r="CL16" s="25">
        <f>INDEX(Trees!$D$94:$M$94,1,CL$4)/12</f>
        <v/>
      </c>
      <c r="CM16" s="25">
        <f>INDEX(Trees!$D$94:$M$94,1,CM$4)/12</f>
        <v/>
      </c>
      <c r="CN16" s="25">
        <f>INDEX(Trees!$D$94:$M$94,1,CN$4)/12</f>
        <v/>
      </c>
      <c r="CO16" s="25">
        <f>INDEX(Trees!$D$94:$M$94,1,CO$4)/12</f>
        <v/>
      </c>
      <c r="CP16" s="25">
        <f>INDEX(Trees!$D$94:$M$94,1,CP$4)/12</f>
        <v/>
      </c>
      <c r="CQ16" s="25">
        <f>INDEX(Trees!$D$94:$M$94,1,CQ$4)/12</f>
        <v/>
      </c>
      <c r="CR16" s="25">
        <f>INDEX(Trees!$D$94:$M$94,1,CR$4)/12</f>
        <v/>
      </c>
      <c r="CS16" s="25">
        <f>INDEX(Trees!$D$94:$M$94,1,CS$4)/12</f>
        <v/>
      </c>
      <c r="CT16" s="25">
        <f>INDEX(Trees!$D$94:$M$94,1,CT$4)/12</f>
        <v/>
      </c>
      <c r="CU16" s="25">
        <f>INDEX(Trees!$D$94:$M$94,1,CU$4)/12</f>
        <v/>
      </c>
      <c r="CV16" s="25">
        <f>INDEX(Trees!$D$94:$M$94,1,CV$4)/12</f>
        <v/>
      </c>
      <c r="CW16" s="25">
        <f>INDEX(Trees!$D$94:$M$94,1,CW$4)/12</f>
        <v/>
      </c>
      <c r="CX16" s="25">
        <f>INDEX(Trees!$D$94:$M$94,1,CX$4)/12</f>
        <v/>
      </c>
      <c r="CY16" s="25">
        <f>INDEX(Trees!$D$94:$M$94,1,CY$4)/12</f>
        <v/>
      </c>
      <c r="CZ16" s="25">
        <f>INDEX(Trees!$D$94:$M$94,1,CZ$4)/12</f>
        <v/>
      </c>
      <c r="DA16" s="25">
        <f>INDEX(Trees!$D$94:$M$94,1,DA$4)/12</f>
        <v/>
      </c>
      <c r="DB16" s="25">
        <f>INDEX(Trees!$D$94:$M$94,1,DB$4)/12</f>
        <v/>
      </c>
      <c r="DC16" s="25">
        <f>INDEX(Trees!$D$94:$M$94,1,DC$4)/12</f>
        <v/>
      </c>
      <c r="DD16" s="25">
        <f>INDEX(Trees!$D$94:$M$94,1,DD$4)/12</f>
        <v/>
      </c>
      <c r="DE16" s="25">
        <f>INDEX(Trees!$D$94:$M$94,1,DE$4)/12</f>
        <v/>
      </c>
      <c r="DF16" s="25">
        <f>INDEX(Trees!$D$94:$M$94,1,DF$4)/12</f>
        <v/>
      </c>
      <c r="DG16" s="25">
        <f>INDEX(Trees!$D$94:$M$94,1,DG$4)/12</f>
        <v/>
      </c>
      <c r="DH16" s="25">
        <f>INDEX(Trees!$D$94:$M$94,1,DH$4)/12</f>
        <v/>
      </c>
      <c r="DI16" s="25">
        <f>INDEX(Trees!$D$94:$M$94,1,DI$4)/12</f>
        <v/>
      </c>
      <c r="DJ16" s="25">
        <f>INDEX(Trees!$D$94:$M$94,1,DJ$4)/12</f>
        <v/>
      </c>
      <c r="DK16" s="25">
        <f>INDEX(Trees!$D$94:$M$94,1,DK$4)/12</f>
        <v/>
      </c>
      <c r="DL16" s="25">
        <f>INDEX(Trees!$D$94:$M$94,1,DL$4)/12</f>
        <v/>
      </c>
      <c r="DM16" s="25">
        <f>INDEX(Trees!$D$94:$M$94,1,DM$4)/12</f>
        <v/>
      </c>
      <c r="DN16" s="25">
        <f>INDEX(Trees!$D$94:$M$94,1,DN$4)/12</f>
        <v/>
      </c>
      <c r="DO16" s="25">
        <f>INDEX(Trees!$D$94:$M$94,1,DO$4)/12</f>
        <v/>
      </c>
      <c r="DP16" s="25">
        <f>INDEX(Trees!$D$94:$M$94,1,DP$4)/12</f>
        <v/>
      </c>
      <c r="DQ16" s="25">
        <f>INDEX(Trees!$D$94:$M$94,1,DQ$4)/12</f>
        <v/>
      </c>
      <c r="DR16" s="25">
        <f>INDEX(Trees!$D$94:$M$94,1,DR$4)/12</f>
        <v/>
      </c>
      <c r="DS16" s="25">
        <f>INDEX(Trees!$D$94:$M$94,1,DS$4)/12</f>
        <v/>
      </c>
    </row>
    <row r="17">
      <c r="A17" s="2" t="inlineStr">
        <is>
          <t>CF_GT_Y</t>
        </is>
      </c>
      <c r="B17" s="6" t="inlineStr">
        <is>
          <t>Goats: young stock</t>
        </is>
      </c>
      <c r="C17" s="2" t="inlineStr">
        <is>
          <t>RWF</t>
        </is>
      </c>
      <c r="D17" s="10">
        <f>Livestock!D26</f>
        <v/>
      </c>
      <c r="E17" s="10">
        <f>Livestock!E26</f>
        <v/>
      </c>
      <c r="F17" s="10">
        <f>Livestock!F26</f>
        <v/>
      </c>
      <c r="G17" s="10">
        <f>Livestock!G26</f>
        <v/>
      </c>
      <c r="H17" s="10">
        <f>Livestock!H26</f>
        <v/>
      </c>
      <c r="I17" s="10">
        <f>Livestock!I26</f>
        <v/>
      </c>
      <c r="J17" s="10">
        <f>Livestock!J26</f>
        <v/>
      </c>
      <c r="K17" s="10">
        <f>Livestock!K26</f>
        <v/>
      </c>
      <c r="L17" s="10">
        <f>Livestock!L26</f>
        <v/>
      </c>
      <c r="M17" s="10">
        <f>Livestock!M26</f>
        <v/>
      </c>
      <c r="N17" s="10">
        <f>Livestock!N26</f>
        <v/>
      </c>
      <c r="O17" s="10">
        <f>Livestock!O26</f>
        <v/>
      </c>
      <c r="P17" s="10">
        <f>Livestock!P26</f>
        <v/>
      </c>
      <c r="Q17" s="10">
        <f>Livestock!Q26</f>
        <v/>
      </c>
      <c r="R17" s="10">
        <f>Livestock!R26</f>
        <v/>
      </c>
      <c r="S17" s="10">
        <f>Livestock!S26</f>
        <v/>
      </c>
      <c r="T17" s="10">
        <f>Livestock!T26</f>
        <v/>
      </c>
      <c r="U17" s="10">
        <f>Livestock!U26</f>
        <v/>
      </c>
      <c r="V17" s="10">
        <f>Livestock!V26</f>
        <v/>
      </c>
      <c r="W17" s="10">
        <f>Livestock!W26</f>
        <v/>
      </c>
      <c r="X17" s="10">
        <f>Livestock!X26</f>
        <v/>
      </c>
      <c r="Y17" s="10">
        <f>Livestock!Y26</f>
        <v/>
      </c>
      <c r="Z17" s="10">
        <f>Livestock!Z26</f>
        <v/>
      </c>
      <c r="AA17" s="10">
        <f>Livestock!AA26</f>
        <v/>
      </c>
      <c r="AB17" s="10">
        <f>Livestock!AB26</f>
        <v/>
      </c>
      <c r="AC17" s="10">
        <f>Livestock!AC26</f>
        <v/>
      </c>
      <c r="AD17" s="10">
        <f>Livestock!AD26</f>
        <v/>
      </c>
      <c r="AE17" s="10">
        <f>Livestock!AE26</f>
        <v/>
      </c>
      <c r="AF17" s="10">
        <f>Livestock!AF26</f>
        <v/>
      </c>
      <c r="AG17" s="10">
        <f>Livestock!AG26</f>
        <v/>
      </c>
      <c r="AH17" s="10">
        <f>Livestock!AH26</f>
        <v/>
      </c>
      <c r="AI17" s="10">
        <f>Livestock!AI26</f>
        <v/>
      </c>
      <c r="AJ17" s="10">
        <f>Livestock!AJ26</f>
        <v/>
      </c>
      <c r="AK17" s="10">
        <f>Livestock!AK26</f>
        <v/>
      </c>
      <c r="AL17" s="10">
        <f>Livestock!AL26</f>
        <v/>
      </c>
      <c r="AM17" s="10">
        <f>Livestock!AM26</f>
        <v/>
      </c>
      <c r="AN17" s="10">
        <f>Livestock!AN26</f>
        <v/>
      </c>
      <c r="AO17" s="10">
        <f>Livestock!AO26</f>
        <v/>
      </c>
      <c r="AP17" s="10">
        <f>Livestock!AP26</f>
        <v/>
      </c>
      <c r="AQ17" s="10">
        <f>Livestock!AQ26</f>
        <v/>
      </c>
      <c r="AR17" s="10">
        <f>Livestock!AR26</f>
        <v/>
      </c>
      <c r="AS17" s="10">
        <f>Livestock!AS26</f>
        <v/>
      </c>
      <c r="AT17" s="10">
        <f>Livestock!AT26</f>
        <v/>
      </c>
      <c r="AU17" s="10">
        <f>Livestock!AU26</f>
        <v/>
      </c>
      <c r="AV17" s="10">
        <f>Livestock!AV26</f>
        <v/>
      </c>
      <c r="AW17" s="10">
        <f>Livestock!AW26</f>
        <v/>
      </c>
      <c r="AX17" s="10">
        <f>Livestock!AX26</f>
        <v/>
      </c>
      <c r="AY17" s="10">
        <f>Livestock!AY26</f>
        <v/>
      </c>
      <c r="AZ17" s="10">
        <f>Livestock!AZ26</f>
        <v/>
      </c>
      <c r="BA17" s="10">
        <f>Livestock!BA26</f>
        <v/>
      </c>
      <c r="BB17" s="10">
        <f>Livestock!BB26</f>
        <v/>
      </c>
      <c r="BC17" s="10">
        <f>Livestock!BC26</f>
        <v/>
      </c>
      <c r="BD17" s="10">
        <f>Livestock!BD26</f>
        <v/>
      </c>
      <c r="BE17" s="10">
        <f>Livestock!BE26</f>
        <v/>
      </c>
      <c r="BF17" s="10">
        <f>Livestock!BF26</f>
        <v/>
      </c>
      <c r="BG17" s="10">
        <f>Livestock!BG26</f>
        <v/>
      </c>
      <c r="BH17" s="10">
        <f>Livestock!BH26</f>
        <v/>
      </c>
      <c r="BI17" s="10">
        <f>Livestock!BI26</f>
        <v/>
      </c>
      <c r="BJ17" s="10">
        <f>Livestock!BJ26</f>
        <v/>
      </c>
      <c r="BK17" s="10">
        <f>Livestock!BK26</f>
        <v/>
      </c>
      <c r="BL17" s="10">
        <f>Livestock!BL26</f>
        <v/>
      </c>
      <c r="BM17" s="10">
        <f>Livestock!BM26</f>
        <v/>
      </c>
      <c r="BN17" s="10">
        <f>Livestock!BN26</f>
        <v/>
      </c>
      <c r="BO17" s="10">
        <f>Livestock!BO26</f>
        <v/>
      </c>
      <c r="BP17" s="10">
        <f>Livestock!BP26</f>
        <v/>
      </c>
      <c r="BQ17" s="10">
        <f>Livestock!BQ26</f>
        <v/>
      </c>
      <c r="BR17" s="10">
        <f>Livestock!BR26</f>
        <v/>
      </c>
      <c r="BS17" s="10">
        <f>Livestock!BS26</f>
        <v/>
      </c>
      <c r="BT17" s="10">
        <f>Livestock!BT26</f>
        <v/>
      </c>
      <c r="BU17" s="10">
        <f>Livestock!BU26</f>
        <v/>
      </c>
      <c r="BV17" s="10">
        <f>Livestock!BV26</f>
        <v/>
      </c>
      <c r="BW17" s="10">
        <f>Livestock!BW26</f>
        <v/>
      </c>
      <c r="BX17" s="10">
        <f>Livestock!BX26</f>
        <v/>
      </c>
      <c r="BY17" s="10">
        <f>Livestock!BY26</f>
        <v/>
      </c>
      <c r="BZ17" s="10">
        <f>Livestock!BZ26</f>
        <v/>
      </c>
      <c r="CA17" s="10">
        <f>Livestock!CA26</f>
        <v/>
      </c>
      <c r="CB17" s="10">
        <f>Livestock!CB26</f>
        <v/>
      </c>
      <c r="CC17" s="10">
        <f>Livestock!CC26</f>
        <v/>
      </c>
      <c r="CD17" s="10">
        <f>Livestock!CD26</f>
        <v/>
      </c>
      <c r="CE17" s="10">
        <f>Livestock!CE26</f>
        <v/>
      </c>
      <c r="CF17" s="10">
        <f>Livestock!CF26</f>
        <v/>
      </c>
      <c r="CG17" s="10">
        <f>Livestock!CG26</f>
        <v/>
      </c>
      <c r="CH17" s="10">
        <f>Livestock!CH26</f>
        <v/>
      </c>
      <c r="CI17" s="10">
        <f>Livestock!CI26</f>
        <v/>
      </c>
      <c r="CJ17" s="10">
        <f>Livestock!CJ26</f>
        <v/>
      </c>
      <c r="CK17" s="10">
        <f>Livestock!CK26</f>
        <v/>
      </c>
      <c r="CL17" s="10">
        <f>Livestock!CL26</f>
        <v/>
      </c>
      <c r="CM17" s="10">
        <f>Livestock!CM26</f>
        <v/>
      </c>
      <c r="CN17" s="10">
        <f>Livestock!CN26</f>
        <v/>
      </c>
      <c r="CO17" s="10">
        <f>Livestock!CO26</f>
        <v/>
      </c>
      <c r="CP17" s="10">
        <f>Livestock!CP26</f>
        <v/>
      </c>
      <c r="CQ17" s="10">
        <f>Livestock!CQ26</f>
        <v/>
      </c>
      <c r="CR17" s="10">
        <f>Livestock!CR26</f>
        <v/>
      </c>
      <c r="CS17" s="10">
        <f>Livestock!CS26</f>
        <v/>
      </c>
      <c r="CT17" s="10">
        <f>Livestock!CT26</f>
        <v/>
      </c>
      <c r="CU17" s="10">
        <f>Livestock!CU26</f>
        <v/>
      </c>
      <c r="CV17" s="10">
        <f>Livestock!CV26</f>
        <v/>
      </c>
      <c r="CW17" s="10">
        <f>Livestock!CW26</f>
        <v/>
      </c>
      <c r="CX17" s="10">
        <f>Livestock!CX26</f>
        <v/>
      </c>
      <c r="CY17" s="10">
        <f>Livestock!CY26</f>
        <v/>
      </c>
      <c r="CZ17" s="10">
        <f>Livestock!CZ26</f>
        <v/>
      </c>
      <c r="DA17" s="10">
        <f>Livestock!DA26</f>
        <v/>
      </c>
      <c r="DB17" s="10">
        <f>Livestock!DB26</f>
        <v/>
      </c>
      <c r="DC17" s="10">
        <f>Livestock!DC26</f>
        <v/>
      </c>
      <c r="DD17" s="10">
        <f>Livestock!DD26</f>
        <v/>
      </c>
      <c r="DE17" s="10">
        <f>Livestock!DE26</f>
        <v/>
      </c>
      <c r="DF17" s="10">
        <f>Livestock!DF26</f>
        <v/>
      </c>
      <c r="DG17" s="10">
        <f>Livestock!DG26</f>
        <v/>
      </c>
      <c r="DH17" s="10">
        <f>Livestock!DH26</f>
        <v/>
      </c>
      <c r="DI17" s="10">
        <f>Livestock!DI26</f>
        <v/>
      </c>
      <c r="DJ17" s="10">
        <f>Livestock!DJ26</f>
        <v/>
      </c>
      <c r="DK17" s="10">
        <f>Livestock!DK26</f>
        <v/>
      </c>
      <c r="DL17" s="10">
        <f>Livestock!DL26</f>
        <v/>
      </c>
      <c r="DM17" s="10">
        <f>Livestock!DM26</f>
        <v/>
      </c>
      <c r="DN17" s="10">
        <f>Livestock!DN26</f>
        <v/>
      </c>
      <c r="DO17" s="10">
        <f>Livestock!DO26</f>
        <v/>
      </c>
      <c r="DP17" s="10">
        <f>Livestock!DP26</f>
        <v/>
      </c>
      <c r="DQ17" s="10">
        <f>Livestock!DQ26</f>
        <v/>
      </c>
      <c r="DR17" s="10">
        <f>Livestock!DR26</f>
        <v/>
      </c>
      <c r="DS17" s="10">
        <f>Livestock!DS26</f>
        <v/>
      </c>
    </row>
    <row r="18">
      <c r="A18" s="2" t="inlineStr">
        <is>
          <t>CF_GT_C</t>
        </is>
      </c>
      <c r="B18" s="6" t="inlineStr">
        <is>
          <t>Goats: culled adults</t>
        </is>
      </c>
      <c r="C18" s="2" t="inlineStr">
        <is>
          <t>RWF</t>
        </is>
      </c>
      <c r="D18" s="10">
        <f>Livestock!D27</f>
        <v/>
      </c>
      <c r="E18" s="10">
        <f>Livestock!E27</f>
        <v/>
      </c>
      <c r="F18" s="10">
        <f>Livestock!F27</f>
        <v/>
      </c>
      <c r="G18" s="10">
        <f>Livestock!G27</f>
        <v/>
      </c>
      <c r="H18" s="10">
        <f>Livestock!H27</f>
        <v/>
      </c>
      <c r="I18" s="10">
        <f>Livestock!I27</f>
        <v/>
      </c>
      <c r="J18" s="10">
        <f>Livestock!J27</f>
        <v/>
      </c>
      <c r="K18" s="10">
        <f>Livestock!K27</f>
        <v/>
      </c>
      <c r="L18" s="10">
        <f>Livestock!L27</f>
        <v/>
      </c>
      <c r="M18" s="10">
        <f>Livestock!M27</f>
        <v/>
      </c>
      <c r="N18" s="10">
        <f>Livestock!N27</f>
        <v/>
      </c>
      <c r="O18" s="10">
        <f>Livestock!O27</f>
        <v/>
      </c>
      <c r="P18" s="10">
        <f>Livestock!P27</f>
        <v/>
      </c>
      <c r="Q18" s="10">
        <f>Livestock!Q27</f>
        <v/>
      </c>
      <c r="R18" s="10">
        <f>Livestock!R27</f>
        <v/>
      </c>
      <c r="S18" s="10">
        <f>Livestock!S27</f>
        <v/>
      </c>
      <c r="T18" s="10">
        <f>Livestock!T27</f>
        <v/>
      </c>
      <c r="U18" s="10">
        <f>Livestock!U27</f>
        <v/>
      </c>
      <c r="V18" s="10">
        <f>Livestock!V27</f>
        <v/>
      </c>
      <c r="W18" s="10">
        <f>Livestock!W27</f>
        <v/>
      </c>
      <c r="X18" s="10">
        <f>Livestock!X27</f>
        <v/>
      </c>
      <c r="Y18" s="10">
        <f>Livestock!Y27</f>
        <v/>
      </c>
      <c r="Z18" s="10">
        <f>Livestock!Z27</f>
        <v/>
      </c>
      <c r="AA18" s="10">
        <f>Livestock!AA27</f>
        <v/>
      </c>
      <c r="AB18" s="10">
        <f>Livestock!AB27</f>
        <v/>
      </c>
      <c r="AC18" s="10">
        <f>Livestock!AC27</f>
        <v/>
      </c>
      <c r="AD18" s="10">
        <f>Livestock!AD27</f>
        <v/>
      </c>
      <c r="AE18" s="10">
        <f>Livestock!AE27</f>
        <v/>
      </c>
      <c r="AF18" s="10">
        <f>Livestock!AF27</f>
        <v/>
      </c>
      <c r="AG18" s="10">
        <f>Livestock!AG27</f>
        <v/>
      </c>
      <c r="AH18" s="10">
        <f>Livestock!AH27</f>
        <v/>
      </c>
      <c r="AI18" s="10">
        <f>Livestock!AI27</f>
        <v/>
      </c>
      <c r="AJ18" s="10">
        <f>Livestock!AJ27</f>
        <v/>
      </c>
      <c r="AK18" s="10">
        <f>Livestock!AK27</f>
        <v/>
      </c>
      <c r="AL18" s="10">
        <f>Livestock!AL27</f>
        <v/>
      </c>
      <c r="AM18" s="10">
        <f>Livestock!AM27</f>
        <v/>
      </c>
      <c r="AN18" s="10">
        <f>Livestock!AN27</f>
        <v/>
      </c>
      <c r="AO18" s="10">
        <f>Livestock!AO27</f>
        <v/>
      </c>
      <c r="AP18" s="10">
        <f>Livestock!AP27</f>
        <v/>
      </c>
      <c r="AQ18" s="10">
        <f>Livestock!AQ27</f>
        <v/>
      </c>
      <c r="AR18" s="10">
        <f>Livestock!AR27</f>
        <v/>
      </c>
      <c r="AS18" s="10">
        <f>Livestock!AS27</f>
        <v/>
      </c>
      <c r="AT18" s="10">
        <f>Livestock!AT27</f>
        <v/>
      </c>
      <c r="AU18" s="10">
        <f>Livestock!AU27</f>
        <v/>
      </c>
      <c r="AV18" s="10">
        <f>Livestock!AV27</f>
        <v/>
      </c>
      <c r="AW18" s="10">
        <f>Livestock!AW27</f>
        <v/>
      </c>
      <c r="AX18" s="10">
        <f>Livestock!AX27</f>
        <v/>
      </c>
      <c r="AY18" s="10">
        <f>Livestock!AY27</f>
        <v/>
      </c>
      <c r="AZ18" s="10">
        <f>Livestock!AZ27</f>
        <v/>
      </c>
      <c r="BA18" s="10">
        <f>Livestock!BA27</f>
        <v/>
      </c>
      <c r="BB18" s="10">
        <f>Livestock!BB27</f>
        <v/>
      </c>
      <c r="BC18" s="10">
        <f>Livestock!BC27</f>
        <v/>
      </c>
      <c r="BD18" s="10">
        <f>Livestock!BD27</f>
        <v/>
      </c>
      <c r="BE18" s="10">
        <f>Livestock!BE27</f>
        <v/>
      </c>
      <c r="BF18" s="10">
        <f>Livestock!BF27</f>
        <v/>
      </c>
      <c r="BG18" s="10">
        <f>Livestock!BG27</f>
        <v/>
      </c>
      <c r="BH18" s="10">
        <f>Livestock!BH27</f>
        <v/>
      </c>
      <c r="BI18" s="10">
        <f>Livestock!BI27</f>
        <v/>
      </c>
      <c r="BJ18" s="10">
        <f>Livestock!BJ27</f>
        <v/>
      </c>
      <c r="BK18" s="10">
        <f>Livestock!BK27</f>
        <v/>
      </c>
      <c r="BL18" s="10">
        <f>Livestock!BL27</f>
        <v/>
      </c>
      <c r="BM18" s="10">
        <f>Livestock!BM27</f>
        <v/>
      </c>
      <c r="BN18" s="10">
        <f>Livestock!BN27</f>
        <v/>
      </c>
      <c r="BO18" s="10">
        <f>Livestock!BO27</f>
        <v/>
      </c>
      <c r="BP18" s="10">
        <f>Livestock!BP27</f>
        <v/>
      </c>
      <c r="BQ18" s="10">
        <f>Livestock!BQ27</f>
        <v/>
      </c>
      <c r="BR18" s="10">
        <f>Livestock!BR27</f>
        <v/>
      </c>
      <c r="BS18" s="10">
        <f>Livestock!BS27</f>
        <v/>
      </c>
      <c r="BT18" s="10">
        <f>Livestock!BT27</f>
        <v/>
      </c>
      <c r="BU18" s="10">
        <f>Livestock!BU27</f>
        <v/>
      </c>
      <c r="BV18" s="10">
        <f>Livestock!BV27</f>
        <v/>
      </c>
      <c r="BW18" s="10">
        <f>Livestock!BW27</f>
        <v/>
      </c>
      <c r="BX18" s="10">
        <f>Livestock!BX27</f>
        <v/>
      </c>
      <c r="BY18" s="10">
        <f>Livestock!BY27</f>
        <v/>
      </c>
      <c r="BZ18" s="10">
        <f>Livestock!BZ27</f>
        <v/>
      </c>
      <c r="CA18" s="10">
        <f>Livestock!CA27</f>
        <v/>
      </c>
      <c r="CB18" s="10">
        <f>Livestock!CB27</f>
        <v/>
      </c>
      <c r="CC18" s="10">
        <f>Livestock!CC27</f>
        <v/>
      </c>
      <c r="CD18" s="10">
        <f>Livestock!CD27</f>
        <v/>
      </c>
      <c r="CE18" s="10">
        <f>Livestock!CE27</f>
        <v/>
      </c>
      <c r="CF18" s="10">
        <f>Livestock!CF27</f>
        <v/>
      </c>
      <c r="CG18" s="10">
        <f>Livestock!CG27</f>
        <v/>
      </c>
      <c r="CH18" s="10">
        <f>Livestock!CH27</f>
        <v/>
      </c>
      <c r="CI18" s="10">
        <f>Livestock!CI27</f>
        <v/>
      </c>
      <c r="CJ18" s="10">
        <f>Livestock!CJ27</f>
        <v/>
      </c>
      <c r="CK18" s="10">
        <f>Livestock!CK27</f>
        <v/>
      </c>
      <c r="CL18" s="10">
        <f>Livestock!CL27</f>
        <v/>
      </c>
      <c r="CM18" s="10">
        <f>Livestock!CM27</f>
        <v/>
      </c>
      <c r="CN18" s="10">
        <f>Livestock!CN27</f>
        <v/>
      </c>
      <c r="CO18" s="10">
        <f>Livestock!CO27</f>
        <v/>
      </c>
      <c r="CP18" s="10">
        <f>Livestock!CP27</f>
        <v/>
      </c>
      <c r="CQ18" s="10">
        <f>Livestock!CQ27</f>
        <v/>
      </c>
      <c r="CR18" s="10">
        <f>Livestock!CR27</f>
        <v/>
      </c>
      <c r="CS18" s="10">
        <f>Livestock!CS27</f>
        <v/>
      </c>
      <c r="CT18" s="10">
        <f>Livestock!CT27</f>
        <v/>
      </c>
      <c r="CU18" s="10">
        <f>Livestock!CU27</f>
        <v/>
      </c>
      <c r="CV18" s="10">
        <f>Livestock!CV27</f>
        <v/>
      </c>
      <c r="CW18" s="10">
        <f>Livestock!CW27</f>
        <v/>
      </c>
      <c r="CX18" s="10">
        <f>Livestock!CX27</f>
        <v/>
      </c>
      <c r="CY18" s="10">
        <f>Livestock!CY27</f>
        <v/>
      </c>
      <c r="CZ18" s="10">
        <f>Livestock!CZ27</f>
        <v/>
      </c>
      <c r="DA18" s="10">
        <f>Livestock!DA27</f>
        <v/>
      </c>
      <c r="DB18" s="10">
        <f>Livestock!DB27</f>
        <v/>
      </c>
      <c r="DC18" s="10">
        <f>Livestock!DC27</f>
        <v/>
      </c>
      <c r="DD18" s="10">
        <f>Livestock!DD27</f>
        <v/>
      </c>
      <c r="DE18" s="10">
        <f>Livestock!DE27</f>
        <v/>
      </c>
      <c r="DF18" s="10">
        <f>Livestock!DF27</f>
        <v/>
      </c>
      <c r="DG18" s="10">
        <f>Livestock!DG27</f>
        <v/>
      </c>
      <c r="DH18" s="10">
        <f>Livestock!DH27</f>
        <v/>
      </c>
      <c r="DI18" s="10">
        <f>Livestock!DI27</f>
        <v/>
      </c>
      <c r="DJ18" s="10">
        <f>Livestock!DJ27</f>
        <v/>
      </c>
      <c r="DK18" s="10">
        <f>Livestock!DK27</f>
        <v/>
      </c>
      <c r="DL18" s="10">
        <f>Livestock!DL27</f>
        <v/>
      </c>
      <c r="DM18" s="10">
        <f>Livestock!DM27</f>
        <v/>
      </c>
      <c r="DN18" s="10">
        <f>Livestock!DN27</f>
        <v/>
      </c>
      <c r="DO18" s="10">
        <f>Livestock!DO27</f>
        <v/>
      </c>
      <c r="DP18" s="10">
        <f>Livestock!DP27</f>
        <v/>
      </c>
      <c r="DQ18" s="10">
        <f>Livestock!DQ27</f>
        <v/>
      </c>
      <c r="DR18" s="10">
        <f>Livestock!DR27</f>
        <v/>
      </c>
      <c r="DS18" s="10">
        <f>Livestock!DS27</f>
        <v/>
      </c>
    </row>
    <row r="19">
      <c r="A19" s="2" t="inlineStr">
        <is>
          <t>CF_SH_Y</t>
        </is>
      </c>
      <c r="B19" s="6" t="inlineStr">
        <is>
          <t>Sheep: young stock</t>
        </is>
      </c>
      <c r="C19" s="2" t="inlineStr">
        <is>
          <t>RWF</t>
        </is>
      </c>
      <c r="D19" s="10">
        <f>Livestock!D50</f>
        <v/>
      </c>
      <c r="E19" s="10">
        <f>Livestock!E50</f>
        <v/>
      </c>
      <c r="F19" s="10">
        <f>Livestock!F50</f>
        <v/>
      </c>
      <c r="G19" s="10">
        <f>Livestock!G50</f>
        <v/>
      </c>
      <c r="H19" s="10">
        <f>Livestock!H50</f>
        <v/>
      </c>
      <c r="I19" s="10">
        <f>Livestock!I50</f>
        <v/>
      </c>
      <c r="J19" s="10">
        <f>Livestock!J50</f>
        <v/>
      </c>
      <c r="K19" s="10">
        <f>Livestock!K50</f>
        <v/>
      </c>
      <c r="L19" s="10">
        <f>Livestock!L50</f>
        <v/>
      </c>
      <c r="M19" s="10">
        <f>Livestock!M50</f>
        <v/>
      </c>
      <c r="N19" s="10">
        <f>Livestock!N50</f>
        <v/>
      </c>
      <c r="O19" s="10">
        <f>Livestock!O50</f>
        <v/>
      </c>
      <c r="P19" s="10">
        <f>Livestock!P50</f>
        <v/>
      </c>
      <c r="Q19" s="10">
        <f>Livestock!Q50</f>
        <v/>
      </c>
      <c r="R19" s="10">
        <f>Livestock!R50</f>
        <v/>
      </c>
      <c r="S19" s="10">
        <f>Livestock!S50</f>
        <v/>
      </c>
      <c r="T19" s="10">
        <f>Livestock!T50</f>
        <v/>
      </c>
      <c r="U19" s="10">
        <f>Livestock!U50</f>
        <v/>
      </c>
      <c r="V19" s="10">
        <f>Livestock!V50</f>
        <v/>
      </c>
      <c r="W19" s="10">
        <f>Livestock!W50</f>
        <v/>
      </c>
      <c r="X19" s="10">
        <f>Livestock!X50</f>
        <v/>
      </c>
      <c r="Y19" s="10">
        <f>Livestock!Y50</f>
        <v/>
      </c>
      <c r="Z19" s="10">
        <f>Livestock!Z50</f>
        <v/>
      </c>
      <c r="AA19" s="10">
        <f>Livestock!AA50</f>
        <v/>
      </c>
      <c r="AB19" s="10">
        <f>Livestock!AB50</f>
        <v/>
      </c>
      <c r="AC19" s="10">
        <f>Livestock!AC50</f>
        <v/>
      </c>
      <c r="AD19" s="10">
        <f>Livestock!AD50</f>
        <v/>
      </c>
      <c r="AE19" s="10">
        <f>Livestock!AE50</f>
        <v/>
      </c>
      <c r="AF19" s="10">
        <f>Livestock!AF50</f>
        <v/>
      </c>
      <c r="AG19" s="10">
        <f>Livestock!AG50</f>
        <v/>
      </c>
      <c r="AH19" s="10">
        <f>Livestock!AH50</f>
        <v/>
      </c>
      <c r="AI19" s="10">
        <f>Livestock!AI50</f>
        <v/>
      </c>
      <c r="AJ19" s="10">
        <f>Livestock!AJ50</f>
        <v/>
      </c>
      <c r="AK19" s="10">
        <f>Livestock!AK50</f>
        <v/>
      </c>
      <c r="AL19" s="10">
        <f>Livestock!AL50</f>
        <v/>
      </c>
      <c r="AM19" s="10">
        <f>Livestock!AM50</f>
        <v/>
      </c>
      <c r="AN19" s="10">
        <f>Livestock!AN50</f>
        <v/>
      </c>
      <c r="AO19" s="10">
        <f>Livestock!AO50</f>
        <v/>
      </c>
      <c r="AP19" s="10">
        <f>Livestock!AP50</f>
        <v/>
      </c>
      <c r="AQ19" s="10">
        <f>Livestock!AQ50</f>
        <v/>
      </c>
      <c r="AR19" s="10">
        <f>Livestock!AR50</f>
        <v/>
      </c>
      <c r="AS19" s="10">
        <f>Livestock!AS50</f>
        <v/>
      </c>
      <c r="AT19" s="10">
        <f>Livestock!AT50</f>
        <v/>
      </c>
      <c r="AU19" s="10">
        <f>Livestock!AU50</f>
        <v/>
      </c>
      <c r="AV19" s="10">
        <f>Livestock!AV50</f>
        <v/>
      </c>
      <c r="AW19" s="10">
        <f>Livestock!AW50</f>
        <v/>
      </c>
      <c r="AX19" s="10">
        <f>Livestock!AX50</f>
        <v/>
      </c>
      <c r="AY19" s="10">
        <f>Livestock!AY50</f>
        <v/>
      </c>
      <c r="AZ19" s="10">
        <f>Livestock!AZ50</f>
        <v/>
      </c>
      <c r="BA19" s="10">
        <f>Livestock!BA50</f>
        <v/>
      </c>
      <c r="BB19" s="10">
        <f>Livestock!BB50</f>
        <v/>
      </c>
      <c r="BC19" s="10">
        <f>Livestock!BC50</f>
        <v/>
      </c>
      <c r="BD19" s="10">
        <f>Livestock!BD50</f>
        <v/>
      </c>
      <c r="BE19" s="10">
        <f>Livestock!BE50</f>
        <v/>
      </c>
      <c r="BF19" s="10">
        <f>Livestock!BF50</f>
        <v/>
      </c>
      <c r="BG19" s="10">
        <f>Livestock!BG50</f>
        <v/>
      </c>
      <c r="BH19" s="10">
        <f>Livestock!BH50</f>
        <v/>
      </c>
      <c r="BI19" s="10">
        <f>Livestock!BI50</f>
        <v/>
      </c>
      <c r="BJ19" s="10">
        <f>Livestock!BJ50</f>
        <v/>
      </c>
      <c r="BK19" s="10">
        <f>Livestock!BK50</f>
        <v/>
      </c>
      <c r="BL19" s="10">
        <f>Livestock!BL50</f>
        <v/>
      </c>
      <c r="BM19" s="10">
        <f>Livestock!BM50</f>
        <v/>
      </c>
      <c r="BN19" s="10">
        <f>Livestock!BN50</f>
        <v/>
      </c>
      <c r="BO19" s="10">
        <f>Livestock!BO50</f>
        <v/>
      </c>
      <c r="BP19" s="10">
        <f>Livestock!BP50</f>
        <v/>
      </c>
      <c r="BQ19" s="10">
        <f>Livestock!BQ50</f>
        <v/>
      </c>
      <c r="BR19" s="10">
        <f>Livestock!BR50</f>
        <v/>
      </c>
      <c r="BS19" s="10">
        <f>Livestock!BS50</f>
        <v/>
      </c>
      <c r="BT19" s="10">
        <f>Livestock!BT50</f>
        <v/>
      </c>
      <c r="BU19" s="10">
        <f>Livestock!BU50</f>
        <v/>
      </c>
      <c r="BV19" s="10">
        <f>Livestock!BV50</f>
        <v/>
      </c>
      <c r="BW19" s="10">
        <f>Livestock!BW50</f>
        <v/>
      </c>
      <c r="BX19" s="10">
        <f>Livestock!BX50</f>
        <v/>
      </c>
      <c r="BY19" s="10">
        <f>Livestock!BY50</f>
        <v/>
      </c>
      <c r="BZ19" s="10">
        <f>Livestock!BZ50</f>
        <v/>
      </c>
      <c r="CA19" s="10">
        <f>Livestock!CA50</f>
        <v/>
      </c>
      <c r="CB19" s="10">
        <f>Livestock!CB50</f>
        <v/>
      </c>
      <c r="CC19" s="10">
        <f>Livestock!CC50</f>
        <v/>
      </c>
      <c r="CD19" s="10">
        <f>Livestock!CD50</f>
        <v/>
      </c>
      <c r="CE19" s="10">
        <f>Livestock!CE50</f>
        <v/>
      </c>
      <c r="CF19" s="10">
        <f>Livestock!CF50</f>
        <v/>
      </c>
      <c r="CG19" s="10">
        <f>Livestock!CG50</f>
        <v/>
      </c>
      <c r="CH19" s="10">
        <f>Livestock!CH50</f>
        <v/>
      </c>
      <c r="CI19" s="10">
        <f>Livestock!CI50</f>
        <v/>
      </c>
      <c r="CJ19" s="10">
        <f>Livestock!CJ50</f>
        <v/>
      </c>
      <c r="CK19" s="10">
        <f>Livestock!CK50</f>
        <v/>
      </c>
      <c r="CL19" s="10">
        <f>Livestock!CL50</f>
        <v/>
      </c>
      <c r="CM19" s="10">
        <f>Livestock!CM50</f>
        <v/>
      </c>
      <c r="CN19" s="10">
        <f>Livestock!CN50</f>
        <v/>
      </c>
      <c r="CO19" s="10">
        <f>Livestock!CO50</f>
        <v/>
      </c>
      <c r="CP19" s="10">
        <f>Livestock!CP50</f>
        <v/>
      </c>
      <c r="CQ19" s="10">
        <f>Livestock!CQ50</f>
        <v/>
      </c>
      <c r="CR19" s="10">
        <f>Livestock!CR50</f>
        <v/>
      </c>
      <c r="CS19" s="10">
        <f>Livestock!CS50</f>
        <v/>
      </c>
      <c r="CT19" s="10">
        <f>Livestock!CT50</f>
        <v/>
      </c>
      <c r="CU19" s="10">
        <f>Livestock!CU50</f>
        <v/>
      </c>
      <c r="CV19" s="10">
        <f>Livestock!CV50</f>
        <v/>
      </c>
      <c r="CW19" s="10">
        <f>Livestock!CW50</f>
        <v/>
      </c>
      <c r="CX19" s="10">
        <f>Livestock!CX50</f>
        <v/>
      </c>
      <c r="CY19" s="10">
        <f>Livestock!CY50</f>
        <v/>
      </c>
      <c r="CZ19" s="10">
        <f>Livestock!CZ50</f>
        <v/>
      </c>
      <c r="DA19" s="10">
        <f>Livestock!DA50</f>
        <v/>
      </c>
      <c r="DB19" s="10">
        <f>Livestock!DB50</f>
        <v/>
      </c>
      <c r="DC19" s="10">
        <f>Livestock!DC50</f>
        <v/>
      </c>
      <c r="DD19" s="10">
        <f>Livestock!DD50</f>
        <v/>
      </c>
      <c r="DE19" s="10">
        <f>Livestock!DE50</f>
        <v/>
      </c>
      <c r="DF19" s="10">
        <f>Livestock!DF50</f>
        <v/>
      </c>
      <c r="DG19" s="10">
        <f>Livestock!DG50</f>
        <v/>
      </c>
      <c r="DH19" s="10">
        <f>Livestock!DH50</f>
        <v/>
      </c>
      <c r="DI19" s="10">
        <f>Livestock!DI50</f>
        <v/>
      </c>
      <c r="DJ19" s="10">
        <f>Livestock!DJ50</f>
        <v/>
      </c>
      <c r="DK19" s="10">
        <f>Livestock!DK50</f>
        <v/>
      </c>
      <c r="DL19" s="10">
        <f>Livestock!DL50</f>
        <v/>
      </c>
      <c r="DM19" s="10">
        <f>Livestock!DM50</f>
        <v/>
      </c>
      <c r="DN19" s="10">
        <f>Livestock!DN50</f>
        <v/>
      </c>
      <c r="DO19" s="10">
        <f>Livestock!DO50</f>
        <v/>
      </c>
      <c r="DP19" s="10">
        <f>Livestock!DP50</f>
        <v/>
      </c>
      <c r="DQ19" s="10">
        <f>Livestock!DQ50</f>
        <v/>
      </c>
      <c r="DR19" s="10">
        <f>Livestock!DR50</f>
        <v/>
      </c>
      <c r="DS19" s="10">
        <f>Livestock!DS50</f>
        <v/>
      </c>
    </row>
    <row r="20">
      <c r="A20" s="2" t="inlineStr">
        <is>
          <t>CF_SH_C</t>
        </is>
      </c>
      <c r="B20" s="6" t="inlineStr">
        <is>
          <t>Sheep: culled adults</t>
        </is>
      </c>
      <c r="C20" s="2" t="inlineStr">
        <is>
          <t>RWF</t>
        </is>
      </c>
      <c r="D20" s="10">
        <f>Livestock!D51</f>
        <v/>
      </c>
      <c r="E20" s="10">
        <f>Livestock!E51</f>
        <v/>
      </c>
      <c r="F20" s="10">
        <f>Livestock!F51</f>
        <v/>
      </c>
      <c r="G20" s="10">
        <f>Livestock!G51</f>
        <v/>
      </c>
      <c r="H20" s="10">
        <f>Livestock!H51</f>
        <v/>
      </c>
      <c r="I20" s="10">
        <f>Livestock!I51</f>
        <v/>
      </c>
      <c r="J20" s="10">
        <f>Livestock!J51</f>
        <v/>
      </c>
      <c r="K20" s="10">
        <f>Livestock!K51</f>
        <v/>
      </c>
      <c r="L20" s="10">
        <f>Livestock!L51</f>
        <v/>
      </c>
      <c r="M20" s="10">
        <f>Livestock!M51</f>
        <v/>
      </c>
      <c r="N20" s="10">
        <f>Livestock!N51</f>
        <v/>
      </c>
      <c r="O20" s="10">
        <f>Livestock!O51</f>
        <v/>
      </c>
      <c r="P20" s="10">
        <f>Livestock!P51</f>
        <v/>
      </c>
      <c r="Q20" s="10">
        <f>Livestock!Q51</f>
        <v/>
      </c>
      <c r="R20" s="10">
        <f>Livestock!R51</f>
        <v/>
      </c>
      <c r="S20" s="10">
        <f>Livestock!S51</f>
        <v/>
      </c>
      <c r="T20" s="10">
        <f>Livestock!T51</f>
        <v/>
      </c>
      <c r="U20" s="10">
        <f>Livestock!U51</f>
        <v/>
      </c>
      <c r="V20" s="10">
        <f>Livestock!V51</f>
        <v/>
      </c>
      <c r="W20" s="10">
        <f>Livestock!W51</f>
        <v/>
      </c>
      <c r="X20" s="10">
        <f>Livestock!X51</f>
        <v/>
      </c>
      <c r="Y20" s="10">
        <f>Livestock!Y51</f>
        <v/>
      </c>
      <c r="Z20" s="10">
        <f>Livestock!Z51</f>
        <v/>
      </c>
      <c r="AA20" s="10">
        <f>Livestock!AA51</f>
        <v/>
      </c>
      <c r="AB20" s="10">
        <f>Livestock!AB51</f>
        <v/>
      </c>
      <c r="AC20" s="10">
        <f>Livestock!AC51</f>
        <v/>
      </c>
      <c r="AD20" s="10">
        <f>Livestock!AD51</f>
        <v/>
      </c>
      <c r="AE20" s="10">
        <f>Livestock!AE51</f>
        <v/>
      </c>
      <c r="AF20" s="10">
        <f>Livestock!AF51</f>
        <v/>
      </c>
      <c r="AG20" s="10">
        <f>Livestock!AG51</f>
        <v/>
      </c>
      <c r="AH20" s="10">
        <f>Livestock!AH51</f>
        <v/>
      </c>
      <c r="AI20" s="10">
        <f>Livestock!AI51</f>
        <v/>
      </c>
      <c r="AJ20" s="10">
        <f>Livestock!AJ51</f>
        <v/>
      </c>
      <c r="AK20" s="10">
        <f>Livestock!AK51</f>
        <v/>
      </c>
      <c r="AL20" s="10">
        <f>Livestock!AL51</f>
        <v/>
      </c>
      <c r="AM20" s="10">
        <f>Livestock!AM51</f>
        <v/>
      </c>
      <c r="AN20" s="10">
        <f>Livestock!AN51</f>
        <v/>
      </c>
      <c r="AO20" s="10">
        <f>Livestock!AO51</f>
        <v/>
      </c>
      <c r="AP20" s="10">
        <f>Livestock!AP51</f>
        <v/>
      </c>
      <c r="AQ20" s="10">
        <f>Livestock!AQ51</f>
        <v/>
      </c>
      <c r="AR20" s="10">
        <f>Livestock!AR51</f>
        <v/>
      </c>
      <c r="AS20" s="10">
        <f>Livestock!AS51</f>
        <v/>
      </c>
      <c r="AT20" s="10">
        <f>Livestock!AT51</f>
        <v/>
      </c>
      <c r="AU20" s="10">
        <f>Livestock!AU51</f>
        <v/>
      </c>
      <c r="AV20" s="10">
        <f>Livestock!AV51</f>
        <v/>
      </c>
      <c r="AW20" s="10">
        <f>Livestock!AW51</f>
        <v/>
      </c>
      <c r="AX20" s="10">
        <f>Livestock!AX51</f>
        <v/>
      </c>
      <c r="AY20" s="10">
        <f>Livestock!AY51</f>
        <v/>
      </c>
      <c r="AZ20" s="10">
        <f>Livestock!AZ51</f>
        <v/>
      </c>
      <c r="BA20" s="10">
        <f>Livestock!BA51</f>
        <v/>
      </c>
      <c r="BB20" s="10">
        <f>Livestock!BB51</f>
        <v/>
      </c>
      <c r="BC20" s="10">
        <f>Livestock!BC51</f>
        <v/>
      </c>
      <c r="BD20" s="10">
        <f>Livestock!BD51</f>
        <v/>
      </c>
      <c r="BE20" s="10">
        <f>Livestock!BE51</f>
        <v/>
      </c>
      <c r="BF20" s="10">
        <f>Livestock!BF51</f>
        <v/>
      </c>
      <c r="BG20" s="10">
        <f>Livestock!BG51</f>
        <v/>
      </c>
      <c r="BH20" s="10">
        <f>Livestock!BH51</f>
        <v/>
      </c>
      <c r="BI20" s="10">
        <f>Livestock!BI51</f>
        <v/>
      </c>
      <c r="BJ20" s="10">
        <f>Livestock!BJ51</f>
        <v/>
      </c>
      <c r="BK20" s="10">
        <f>Livestock!BK51</f>
        <v/>
      </c>
      <c r="BL20" s="10">
        <f>Livestock!BL51</f>
        <v/>
      </c>
      <c r="BM20" s="10">
        <f>Livestock!BM51</f>
        <v/>
      </c>
      <c r="BN20" s="10">
        <f>Livestock!BN51</f>
        <v/>
      </c>
      <c r="BO20" s="10">
        <f>Livestock!BO51</f>
        <v/>
      </c>
      <c r="BP20" s="10">
        <f>Livestock!BP51</f>
        <v/>
      </c>
      <c r="BQ20" s="10">
        <f>Livestock!BQ51</f>
        <v/>
      </c>
      <c r="BR20" s="10">
        <f>Livestock!BR51</f>
        <v/>
      </c>
      <c r="BS20" s="10">
        <f>Livestock!BS51</f>
        <v/>
      </c>
      <c r="BT20" s="10">
        <f>Livestock!BT51</f>
        <v/>
      </c>
      <c r="BU20" s="10">
        <f>Livestock!BU51</f>
        <v/>
      </c>
      <c r="BV20" s="10">
        <f>Livestock!BV51</f>
        <v/>
      </c>
      <c r="BW20" s="10">
        <f>Livestock!BW51</f>
        <v/>
      </c>
      <c r="BX20" s="10">
        <f>Livestock!BX51</f>
        <v/>
      </c>
      <c r="BY20" s="10">
        <f>Livestock!BY51</f>
        <v/>
      </c>
      <c r="BZ20" s="10">
        <f>Livestock!BZ51</f>
        <v/>
      </c>
      <c r="CA20" s="10">
        <f>Livestock!CA51</f>
        <v/>
      </c>
      <c r="CB20" s="10">
        <f>Livestock!CB51</f>
        <v/>
      </c>
      <c r="CC20" s="10">
        <f>Livestock!CC51</f>
        <v/>
      </c>
      <c r="CD20" s="10">
        <f>Livestock!CD51</f>
        <v/>
      </c>
      <c r="CE20" s="10">
        <f>Livestock!CE51</f>
        <v/>
      </c>
      <c r="CF20" s="10">
        <f>Livestock!CF51</f>
        <v/>
      </c>
      <c r="CG20" s="10">
        <f>Livestock!CG51</f>
        <v/>
      </c>
      <c r="CH20" s="10">
        <f>Livestock!CH51</f>
        <v/>
      </c>
      <c r="CI20" s="10">
        <f>Livestock!CI51</f>
        <v/>
      </c>
      <c r="CJ20" s="10">
        <f>Livestock!CJ51</f>
        <v/>
      </c>
      <c r="CK20" s="10">
        <f>Livestock!CK51</f>
        <v/>
      </c>
      <c r="CL20" s="10">
        <f>Livestock!CL51</f>
        <v/>
      </c>
      <c r="CM20" s="10">
        <f>Livestock!CM51</f>
        <v/>
      </c>
      <c r="CN20" s="10">
        <f>Livestock!CN51</f>
        <v/>
      </c>
      <c r="CO20" s="10">
        <f>Livestock!CO51</f>
        <v/>
      </c>
      <c r="CP20" s="10">
        <f>Livestock!CP51</f>
        <v/>
      </c>
      <c r="CQ20" s="10">
        <f>Livestock!CQ51</f>
        <v/>
      </c>
      <c r="CR20" s="10">
        <f>Livestock!CR51</f>
        <v/>
      </c>
      <c r="CS20" s="10">
        <f>Livestock!CS51</f>
        <v/>
      </c>
      <c r="CT20" s="10">
        <f>Livestock!CT51</f>
        <v/>
      </c>
      <c r="CU20" s="10">
        <f>Livestock!CU51</f>
        <v/>
      </c>
      <c r="CV20" s="10">
        <f>Livestock!CV51</f>
        <v/>
      </c>
      <c r="CW20" s="10">
        <f>Livestock!CW51</f>
        <v/>
      </c>
      <c r="CX20" s="10">
        <f>Livestock!CX51</f>
        <v/>
      </c>
      <c r="CY20" s="10">
        <f>Livestock!CY51</f>
        <v/>
      </c>
      <c r="CZ20" s="10">
        <f>Livestock!CZ51</f>
        <v/>
      </c>
      <c r="DA20" s="10">
        <f>Livestock!DA51</f>
        <v/>
      </c>
      <c r="DB20" s="10">
        <f>Livestock!DB51</f>
        <v/>
      </c>
      <c r="DC20" s="10">
        <f>Livestock!DC51</f>
        <v/>
      </c>
      <c r="DD20" s="10">
        <f>Livestock!DD51</f>
        <v/>
      </c>
      <c r="DE20" s="10">
        <f>Livestock!DE51</f>
        <v/>
      </c>
      <c r="DF20" s="10">
        <f>Livestock!DF51</f>
        <v/>
      </c>
      <c r="DG20" s="10">
        <f>Livestock!DG51</f>
        <v/>
      </c>
      <c r="DH20" s="10">
        <f>Livestock!DH51</f>
        <v/>
      </c>
      <c r="DI20" s="10">
        <f>Livestock!DI51</f>
        <v/>
      </c>
      <c r="DJ20" s="10">
        <f>Livestock!DJ51</f>
        <v/>
      </c>
      <c r="DK20" s="10">
        <f>Livestock!DK51</f>
        <v/>
      </c>
      <c r="DL20" s="10">
        <f>Livestock!DL51</f>
        <v/>
      </c>
      <c r="DM20" s="10">
        <f>Livestock!DM51</f>
        <v/>
      </c>
      <c r="DN20" s="10">
        <f>Livestock!DN51</f>
        <v/>
      </c>
      <c r="DO20" s="10">
        <f>Livestock!DO51</f>
        <v/>
      </c>
      <c r="DP20" s="10">
        <f>Livestock!DP51</f>
        <v/>
      </c>
      <c r="DQ20" s="10">
        <f>Livestock!DQ51</f>
        <v/>
      </c>
      <c r="DR20" s="10">
        <f>Livestock!DR51</f>
        <v/>
      </c>
      <c r="DS20" s="10">
        <f>Livestock!DS51</f>
        <v/>
      </c>
    </row>
    <row r="21">
      <c r="A21" s="2" t="inlineStr">
        <is>
          <t>CF_SALES</t>
        </is>
      </c>
      <c r="B21" s="3" t="inlineStr">
        <is>
          <t>Total sales</t>
        </is>
      </c>
      <c r="C21" s="2" t="inlineStr">
        <is>
          <t>RWF</t>
        </is>
      </c>
      <c r="D21" s="37">
        <f>SUM(D9:D20)</f>
        <v/>
      </c>
      <c r="E21" s="37">
        <f>SUM(E9:E20)</f>
        <v/>
      </c>
      <c r="F21" s="37">
        <f>SUM(F9:F20)</f>
        <v/>
      </c>
      <c r="G21" s="37">
        <f>SUM(G9:G20)</f>
        <v/>
      </c>
      <c r="H21" s="37">
        <f>SUM(H9:H20)</f>
        <v/>
      </c>
      <c r="I21" s="37">
        <f>SUM(I9:I20)</f>
        <v/>
      </c>
      <c r="J21" s="37">
        <f>SUM(J9:J20)</f>
        <v/>
      </c>
      <c r="K21" s="37">
        <f>SUM(K9:K20)</f>
        <v/>
      </c>
      <c r="L21" s="37">
        <f>SUM(L9:L20)</f>
        <v/>
      </c>
      <c r="M21" s="37">
        <f>SUM(M9:M20)</f>
        <v/>
      </c>
      <c r="N21" s="37">
        <f>SUM(N9:N20)</f>
        <v/>
      </c>
      <c r="O21" s="37">
        <f>SUM(O9:O20)</f>
        <v/>
      </c>
      <c r="P21" s="37">
        <f>SUM(P9:P20)</f>
        <v/>
      </c>
      <c r="Q21" s="37">
        <f>SUM(Q9:Q20)</f>
        <v/>
      </c>
      <c r="R21" s="37">
        <f>SUM(R9:R20)</f>
        <v/>
      </c>
      <c r="S21" s="37">
        <f>SUM(S9:S20)</f>
        <v/>
      </c>
      <c r="T21" s="37">
        <f>SUM(T9:T20)</f>
        <v/>
      </c>
      <c r="U21" s="37">
        <f>SUM(U9:U20)</f>
        <v/>
      </c>
      <c r="V21" s="37">
        <f>SUM(V9:V20)</f>
        <v/>
      </c>
      <c r="W21" s="37">
        <f>SUM(W9:W20)</f>
        <v/>
      </c>
      <c r="X21" s="37">
        <f>SUM(X9:X20)</f>
        <v/>
      </c>
      <c r="Y21" s="37">
        <f>SUM(Y9:Y20)</f>
        <v/>
      </c>
      <c r="Z21" s="37">
        <f>SUM(Z9:Z20)</f>
        <v/>
      </c>
      <c r="AA21" s="37">
        <f>SUM(AA9:AA20)</f>
        <v/>
      </c>
      <c r="AB21" s="37">
        <f>SUM(AB9:AB20)</f>
        <v/>
      </c>
      <c r="AC21" s="37">
        <f>SUM(AC9:AC20)</f>
        <v/>
      </c>
      <c r="AD21" s="37">
        <f>SUM(AD9:AD20)</f>
        <v/>
      </c>
      <c r="AE21" s="37">
        <f>SUM(AE9:AE20)</f>
        <v/>
      </c>
      <c r="AF21" s="37">
        <f>SUM(AF9:AF20)</f>
        <v/>
      </c>
      <c r="AG21" s="37">
        <f>SUM(AG9:AG20)</f>
        <v/>
      </c>
      <c r="AH21" s="37">
        <f>SUM(AH9:AH20)</f>
        <v/>
      </c>
      <c r="AI21" s="37">
        <f>SUM(AI9:AI20)</f>
        <v/>
      </c>
      <c r="AJ21" s="37">
        <f>SUM(AJ9:AJ20)</f>
        <v/>
      </c>
      <c r="AK21" s="37">
        <f>SUM(AK9:AK20)</f>
        <v/>
      </c>
      <c r="AL21" s="37">
        <f>SUM(AL9:AL20)</f>
        <v/>
      </c>
      <c r="AM21" s="37">
        <f>SUM(AM9:AM20)</f>
        <v/>
      </c>
      <c r="AN21" s="37">
        <f>SUM(AN9:AN20)</f>
        <v/>
      </c>
      <c r="AO21" s="37">
        <f>SUM(AO9:AO20)</f>
        <v/>
      </c>
      <c r="AP21" s="37">
        <f>SUM(AP9:AP20)</f>
        <v/>
      </c>
      <c r="AQ21" s="37">
        <f>SUM(AQ9:AQ20)</f>
        <v/>
      </c>
      <c r="AR21" s="37">
        <f>SUM(AR9:AR20)</f>
        <v/>
      </c>
      <c r="AS21" s="37">
        <f>SUM(AS9:AS20)</f>
        <v/>
      </c>
      <c r="AT21" s="37">
        <f>SUM(AT9:AT20)</f>
        <v/>
      </c>
      <c r="AU21" s="37">
        <f>SUM(AU9:AU20)</f>
        <v/>
      </c>
      <c r="AV21" s="37">
        <f>SUM(AV9:AV20)</f>
        <v/>
      </c>
      <c r="AW21" s="37">
        <f>SUM(AW9:AW20)</f>
        <v/>
      </c>
      <c r="AX21" s="37">
        <f>SUM(AX9:AX20)</f>
        <v/>
      </c>
      <c r="AY21" s="37">
        <f>SUM(AY9:AY20)</f>
        <v/>
      </c>
      <c r="AZ21" s="37">
        <f>SUM(AZ9:AZ20)</f>
        <v/>
      </c>
      <c r="BA21" s="37">
        <f>SUM(BA9:BA20)</f>
        <v/>
      </c>
      <c r="BB21" s="37">
        <f>SUM(BB9:BB20)</f>
        <v/>
      </c>
      <c r="BC21" s="37">
        <f>SUM(BC9:BC20)</f>
        <v/>
      </c>
      <c r="BD21" s="37">
        <f>SUM(BD9:BD20)</f>
        <v/>
      </c>
      <c r="BE21" s="37">
        <f>SUM(BE9:BE20)</f>
        <v/>
      </c>
      <c r="BF21" s="37">
        <f>SUM(BF9:BF20)</f>
        <v/>
      </c>
      <c r="BG21" s="37">
        <f>SUM(BG9:BG20)</f>
        <v/>
      </c>
      <c r="BH21" s="37">
        <f>SUM(BH9:BH20)</f>
        <v/>
      </c>
      <c r="BI21" s="37">
        <f>SUM(BI9:BI20)</f>
        <v/>
      </c>
      <c r="BJ21" s="37">
        <f>SUM(BJ9:BJ20)</f>
        <v/>
      </c>
      <c r="BK21" s="37">
        <f>SUM(BK9:BK20)</f>
        <v/>
      </c>
      <c r="BL21" s="37">
        <f>SUM(BL9:BL20)</f>
        <v/>
      </c>
      <c r="BM21" s="37">
        <f>SUM(BM9:BM20)</f>
        <v/>
      </c>
      <c r="BN21" s="37">
        <f>SUM(BN9:BN20)</f>
        <v/>
      </c>
      <c r="BO21" s="37">
        <f>SUM(BO9:BO20)</f>
        <v/>
      </c>
      <c r="BP21" s="37">
        <f>SUM(BP9:BP20)</f>
        <v/>
      </c>
      <c r="BQ21" s="37">
        <f>SUM(BQ9:BQ20)</f>
        <v/>
      </c>
      <c r="BR21" s="37">
        <f>SUM(BR9:BR20)</f>
        <v/>
      </c>
      <c r="BS21" s="37">
        <f>SUM(BS9:BS20)</f>
        <v/>
      </c>
      <c r="BT21" s="37">
        <f>SUM(BT9:BT20)</f>
        <v/>
      </c>
      <c r="BU21" s="37">
        <f>SUM(BU9:BU20)</f>
        <v/>
      </c>
      <c r="BV21" s="37">
        <f>SUM(BV9:BV20)</f>
        <v/>
      </c>
      <c r="BW21" s="37">
        <f>SUM(BW9:BW20)</f>
        <v/>
      </c>
      <c r="BX21" s="37">
        <f>SUM(BX9:BX20)</f>
        <v/>
      </c>
      <c r="BY21" s="37">
        <f>SUM(BY9:BY20)</f>
        <v/>
      </c>
      <c r="BZ21" s="37">
        <f>SUM(BZ9:BZ20)</f>
        <v/>
      </c>
      <c r="CA21" s="37">
        <f>SUM(CA9:CA20)</f>
        <v/>
      </c>
      <c r="CB21" s="37">
        <f>SUM(CB9:CB20)</f>
        <v/>
      </c>
      <c r="CC21" s="37">
        <f>SUM(CC9:CC20)</f>
        <v/>
      </c>
      <c r="CD21" s="37">
        <f>SUM(CD9:CD20)</f>
        <v/>
      </c>
      <c r="CE21" s="37">
        <f>SUM(CE9:CE20)</f>
        <v/>
      </c>
      <c r="CF21" s="37">
        <f>SUM(CF9:CF20)</f>
        <v/>
      </c>
      <c r="CG21" s="37">
        <f>SUM(CG9:CG20)</f>
        <v/>
      </c>
      <c r="CH21" s="37">
        <f>SUM(CH9:CH20)</f>
        <v/>
      </c>
      <c r="CI21" s="37">
        <f>SUM(CI9:CI20)</f>
        <v/>
      </c>
      <c r="CJ21" s="37">
        <f>SUM(CJ9:CJ20)</f>
        <v/>
      </c>
      <c r="CK21" s="37">
        <f>SUM(CK9:CK20)</f>
        <v/>
      </c>
      <c r="CL21" s="37">
        <f>SUM(CL9:CL20)</f>
        <v/>
      </c>
      <c r="CM21" s="37">
        <f>SUM(CM9:CM20)</f>
        <v/>
      </c>
      <c r="CN21" s="37">
        <f>SUM(CN9:CN20)</f>
        <v/>
      </c>
      <c r="CO21" s="37">
        <f>SUM(CO9:CO20)</f>
        <v/>
      </c>
      <c r="CP21" s="37">
        <f>SUM(CP9:CP20)</f>
        <v/>
      </c>
      <c r="CQ21" s="37">
        <f>SUM(CQ9:CQ20)</f>
        <v/>
      </c>
      <c r="CR21" s="37">
        <f>SUM(CR9:CR20)</f>
        <v/>
      </c>
      <c r="CS21" s="37">
        <f>SUM(CS9:CS20)</f>
        <v/>
      </c>
      <c r="CT21" s="37">
        <f>SUM(CT9:CT20)</f>
        <v/>
      </c>
      <c r="CU21" s="37">
        <f>SUM(CU9:CU20)</f>
        <v/>
      </c>
      <c r="CV21" s="37">
        <f>SUM(CV9:CV20)</f>
        <v/>
      </c>
      <c r="CW21" s="37">
        <f>SUM(CW9:CW20)</f>
        <v/>
      </c>
      <c r="CX21" s="37">
        <f>SUM(CX9:CX20)</f>
        <v/>
      </c>
      <c r="CY21" s="37">
        <f>SUM(CY9:CY20)</f>
        <v/>
      </c>
      <c r="CZ21" s="37">
        <f>SUM(CZ9:CZ20)</f>
        <v/>
      </c>
      <c r="DA21" s="37">
        <f>SUM(DA9:DA20)</f>
        <v/>
      </c>
      <c r="DB21" s="37">
        <f>SUM(DB9:DB20)</f>
        <v/>
      </c>
      <c r="DC21" s="37">
        <f>SUM(DC9:DC20)</f>
        <v/>
      </c>
      <c r="DD21" s="37">
        <f>SUM(DD9:DD20)</f>
        <v/>
      </c>
      <c r="DE21" s="37">
        <f>SUM(DE9:DE20)</f>
        <v/>
      </c>
      <c r="DF21" s="37">
        <f>SUM(DF9:DF20)</f>
        <v/>
      </c>
      <c r="DG21" s="37">
        <f>SUM(DG9:DG20)</f>
        <v/>
      </c>
      <c r="DH21" s="37">
        <f>SUM(DH9:DH20)</f>
        <v/>
      </c>
      <c r="DI21" s="37">
        <f>SUM(DI9:DI20)</f>
        <v/>
      </c>
      <c r="DJ21" s="37">
        <f>SUM(DJ9:DJ20)</f>
        <v/>
      </c>
      <c r="DK21" s="37">
        <f>SUM(DK9:DK20)</f>
        <v/>
      </c>
      <c r="DL21" s="37">
        <f>SUM(DL9:DL20)</f>
        <v/>
      </c>
      <c r="DM21" s="37">
        <f>SUM(DM9:DM20)</f>
        <v/>
      </c>
      <c r="DN21" s="37">
        <f>SUM(DN9:DN20)</f>
        <v/>
      </c>
      <c r="DO21" s="37">
        <f>SUM(DO9:DO20)</f>
        <v/>
      </c>
      <c r="DP21" s="37">
        <f>SUM(DP9:DP20)</f>
        <v/>
      </c>
      <c r="DQ21" s="37">
        <f>SUM(DQ9:DQ20)</f>
        <v/>
      </c>
      <c r="DR21" s="37">
        <f>SUM(DR9:DR20)</f>
        <v/>
      </c>
      <c r="DS21" s="37">
        <f>SUM(DS9:DS20)</f>
        <v/>
      </c>
    </row>
    <row r="22">
      <c r="A22" s="2" t="inlineStr">
        <is>
          <t>CF_KG</t>
        </is>
      </c>
      <c r="B22" s="6" t="inlineStr">
        <is>
          <t>Memo: fruit marketed</t>
        </is>
      </c>
      <c r="C22" s="2" t="inlineStr">
        <is>
          <t>kg</t>
        </is>
      </c>
      <c r="D22" s="25">
        <f>INDEX(Trees!$D$13:$M$13,1,D$4)*INDEX(Curves!$D$15:$O$15,1,D$5)+INDEX(Trees!$D$25:$M$25,1,D$4)*INDEX(Curves!$D$16:$O$16,1,D$5)+INDEX(Trees!$D$37:$M$37,1,D$4)*INDEX(Curves!$D$17:$O$17,1,D$5)+INDEX(Trees!$D$49:$M$49,1,D$4)*INDEX(Curves!$D$18:$O$18,1,D$5)+INDEX(Trees!$D$61:$M$61,1,D$4)*INDEX(Curves!$D$19:$O$19,1,D$5)+INDEX(Trees!$D$73:$M$73,1,D$4)*INDEX(Curves!$D$20:$O$20,1,D$5)+INDEX(Trees!$D$85:$M$85,1,D$4)*INDEX(Curves!$D$21:$O$21,1,D$5)</f>
        <v/>
      </c>
      <c r="E22" s="25">
        <f>INDEX(Trees!$D$13:$M$13,1,E$4)*INDEX(Curves!$D$15:$O$15,1,E$5)+INDEX(Trees!$D$25:$M$25,1,E$4)*INDEX(Curves!$D$16:$O$16,1,E$5)+INDEX(Trees!$D$37:$M$37,1,E$4)*INDEX(Curves!$D$17:$O$17,1,E$5)+INDEX(Trees!$D$49:$M$49,1,E$4)*INDEX(Curves!$D$18:$O$18,1,E$5)+INDEX(Trees!$D$61:$M$61,1,E$4)*INDEX(Curves!$D$19:$O$19,1,E$5)+INDEX(Trees!$D$73:$M$73,1,E$4)*INDEX(Curves!$D$20:$O$20,1,E$5)+INDEX(Trees!$D$85:$M$85,1,E$4)*INDEX(Curves!$D$21:$O$21,1,E$5)</f>
        <v/>
      </c>
      <c r="F22" s="25">
        <f>INDEX(Trees!$D$13:$M$13,1,F$4)*INDEX(Curves!$D$15:$O$15,1,F$5)+INDEX(Trees!$D$25:$M$25,1,F$4)*INDEX(Curves!$D$16:$O$16,1,F$5)+INDEX(Trees!$D$37:$M$37,1,F$4)*INDEX(Curves!$D$17:$O$17,1,F$5)+INDEX(Trees!$D$49:$M$49,1,F$4)*INDEX(Curves!$D$18:$O$18,1,F$5)+INDEX(Trees!$D$61:$M$61,1,F$4)*INDEX(Curves!$D$19:$O$19,1,F$5)+INDEX(Trees!$D$73:$M$73,1,F$4)*INDEX(Curves!$D$20:$O$20,1,F$5)+INDEX(Trees!$D$85:$M$85,1,F$4)*INDEX(Curves!$D$21:$O$21,1,F$5)</f>
        <v/>
      </c>
      <c r="G22" s="25">
        <f>INDEX(Trees!$D$13:$M$13,1,G$4)*INDEX(Curves!$D$15:$O$15,1,G$5)+INDEX(Trees!$D$25:$M$25,1,G$4)*INDEX(Curves!$D$16:$O$16,1,G$5)+INDEX(Trees!$D$37:$M$37,1,G$4)*INDEX(Curves!$D$17:$O$17,1,G$5)+INDEX(Trees!$D$49:$M$49,1,G$4)*INDEX(Curves!$D$18:$O$18,1,G$5)+INDEX(Trees!$D$61:$M$61,1,G$4)*INDEX(Curves!$D$19:$O$19,1,G$5)+INDEX(Trees!$D$73:$M$73,1,G$4)*INDEX(Curves!$D$20:$O$20,1,G$5)+INDEX(Trees!$D$85:$M$85,1,G$4)*INDEX(Curves!$D$21:$O$21,1,G$5)</f>
        <v/>
      </c>
      <c r="H22" s="25">
        <f>INDEX(Trees!$D$13:$M$13,1,H$4)*INDEX(Curves!$D$15:$O$15,1,H$5)+INDEX(Trees!$D$25:$M$25,1,H$4)*INDEX(Curves!$D$16:$O$16,1,H$5)+INDEX(Trees!$D$37:$M$37,1,H$4)*INDEX(Curves!$D$17:$O$17,1,H$5)+INDEX(Trees!$D$49:$M$49,1,H$4)*INDEX(Curves!$D$18:$O$18,1,H$5)+INDEX(Trees!$D$61:$M$61,1,H$4)*INDEX(Curves!$D$19:$O$19,1,H$5)+INDEX(Trees!$D$73:$M$73,1,H$4)*INDEX(Curves!$D$20:$O$20,1,H$5)+INDEX(Trees!$D$85:$M$85,1,H$4)*INDEX(Curves!$D$21:$O$21,1,H$5)</f>
        <v/>
      </c>
      <c r="I22" s="25">
        <f>INDEX(Trees!$D$13:$M$13,1,I$4)*INDEX(Curves!$D$15:$O$15,1,I$5)+INDEX(Trees!$D$25:$M$25,1,I$4)*INDEX(Curves!$D$16:$O$16,1,I$5)+INDEX(Trees!$D$37:$M$37,1,I$4)*INDEX(Curves!$D$17:$O$17,1,I$5)+INDEX(Trees!$D$49:$M$49,1,I$4)*INDEX(Curves!$D$18:$O$18,1,I$5)+INDEX(Trees!$D$61:$M$61,1,I$4)*INDEX(Curves!$D$19:$O$19,1,I$5)+INDEX(Trees!$D$73:$M$73,1,I$4)*INDEX(Curves!$D$20:$O$20,1,I$5)+INDEX(Trees!$D$85:$M$85,1,I$4)*INDEX(Curves!$D$21:$O$21,1,I$5)</f>
        <v/>
      </c>
      <c r="J22" s="25">
        <f>INDEX(Trees!$D$13:$M$13,1,J$4)*INDEX(Curves!$D$15:$O$15,1,J$5)+INDEX(Trees!$D$25:$M$25,1,J$4)*INDEX(Curves!$D$16:$O$16,1,J$5)+INDEX(Trees!$D$37:$M$37,1,J$4)*INDEX(Curves!$D$17:$O$17,1,J$5)+INDEX(Trees!$D$49:$M$49,1,J$4)*INDEX(Curves!$D$18:$O$18,1,J$5)+INDEX(Trees!$D$61:$M$61,1,J$4)*INDEX(Curves!$D$19:$O$19,1,J$5)+INDEX(Trees!$D$73:$M$73,1,J$4)*INDEX(Curves!$D$20:$O$20,1,J$5)+INDEX(Trees!$D$85:$M$85,1,J$4)*INDEX(Curves!$D$21:$O$21,1,J$5)</f>
        <v/>
      </c>
      <c r="K22" s="25">
        <f>INDEX(Trees!$D$13:$M$13,1,K$4)*INDEX(Curves!$D$15:$O$15,1,K$5)+INDEX(Trees!$D$25:$M$25,1,K$4)*INDEX(Curves!$D$16:$O$16,1,K$5)+INDEX(Trees!$D$37:$M$37,1,K$4)*INDEX(Curves!$D$17:$O$17,1,K$5)+INDEX(Trees!$D$49:$M$49,1,K$4)*INDEX(Curves!$D$18:$O$18,1,K$5)+INDEX(Trees!$D$61:$M$61,1,K$4)*INDEX(Curves!$D$19:$O$19,1,K$5)+INDEX(Trees!$D$73:$M$73,1,K$4)*INDEX(Curves!$D$20:$O$20,1,K$5)+INDEX(Trees!$D$85:$M$85,1,K$4)*INDEX(Curves!$D$21:$O$21,1,K$5)</f>
        <v/>
      </c>
      <c r="L22" s="25">
        <f>INDEX(Trees!$D$13:$M$13,1,L$4)*INDEX(Curves!$D$15:$O$15,1,L$5)+INDEX(Trees!$D$25:$M$25,1,L$4)*INDEX(Curves!$D$16:$O$16,1,L$5)+INDEX(Trees!$D$37:$M$37,1,L$4)*INDEX(Curves!$D$17:$O$17,1,L$5)+INDEX(Trees!$D$49:$M$49,1,L$4)*INDEX(Curves!$D$18:$O$18,1,L$5)+INDEX(Trees!$D$61:$M$61,1,L$4)*INDEX(Curves!$D$19:$O$19,1,L$5)+INDEX(Trees!$D$73:$M$73,1,L$4)*INDEX(Curves!$D$20:$O$20,1,L$5)+INDEX(Trees!$D$85:$M$85,1,L$4)*INDEX(Curves!$D$21:$O$21,1,L$5)</f>
        <v/>
      </c>
      <c r="M22" s="25">
        <f>INDEX(Trees!$D$13:$M$13,1,M$4)*INDEX(Curves!$D$15:$O$15,1,M$5)+INDEX(Trees!$D$25:$M$25,1,M$4)*INDEX(Curves!$D$16:$O$16,1,M$5)+INDEX(Trees!$D$37:$M$37,1,M$4)*INDEX(Curves!$D$17:$O$17,1,M$5)+INDEX(Trees!$D$49:$M$49,1,M$4)*INDEX(Curves!$D$18:$O$18,1,M$5)+INDEX(Trees!$D$61:$M$61,1,M$4)*INDEX(Curves!$D$19:$O$19,1,M$5)+INDEX(Trees!$D$73:$M$73,1,M$4)*INDEX(Curves!$D$20:$O$20,1,M$5)+INDEX(Trees!$D$85:$M$85,1,M$4)*INDEX(Curves!$D$21:$O$21,1,M$5)</f>
        <v/>
      </c>
      <c r="N22" s="25">
        <f>INDEX(Trees!$D$13:$M$13,1,N$4)*INDEX(Curves!$D$15:$O$15,1,N$5)+INDEX(Trees!$D$25:$M$25,1,N$4)*INDEX(Curves!$D$16:$O$16,1,N$5)+INDEX(Trees!$D$37:$M$37,1,N$4)*INDEX(Curves!$D$17:$O$17,1,N$5)+INDEX(Trees!$D$49:$M$49,1,N$4)*INDEX(Curves!$D$18:$O$18,1,N$5)+INDEX(Trees!$D$61:$M$61,1,N$4)*INDEX(Curves!$D$19:$O$19,1,N$5)+INDEX(Trees!$D$73:$M$73,1,N$4)*INDEX(Curves!$D$20:$O$20,1,N$5)+INDEX(Trees!$D$85:$M$85,1,N$4)*INDEX(Curves!$D$21:$O$21,1,N$5)</f>
        <v/>
      </c>
      <c r="O22" s="25">
        <f>INDEX(Trees!$D$13:$M$13,1,O$4)*INDEX(Curves!$D$15:$O$15,1,O$5)+INDEX(Trees!$D$25:$M$25,1,O$4)*INDEX(Curves!$D$16:$O$16,1,O$5)+INDEX(Trees!$D$37:$M$37,1,O$4)*INDEX(Curves!$D$17:$O$17,1,O$5)+INDEX(Trees!$D$49:$M$49,1,O$4)*INDEX(Curves!$D$18:$O$18,1,O$5)+INDEX(Trees!$D$61:$M$61,1,O$4)*INDEX(Curves!$D$19:$O$19,1,O$5)+INDEX(Trees!$D$73:$M$73,1,O$4)*INDEX(Curves!$D$20:$O$20,1,O$5)+INDEX(Trees!$D$85:$M$85,1,O$4)*INDEX(Curves!$D$21:$O$21,1,O$5)</f>
        <v/>
      </c>
      <c r="P22" s="25">
        <f>INDEX(Trees!$D$13:$M$13,1,P$4)*INDEX(Curves!$D$15:$O$15,1,P$5)+INDEX(Trees!$D$25:$M$25,1,P$4)*INDEX(Curves!$D$16:$O$16,1,P$5)+INDEX(Trees!$D$37:$M$37,1,P$4)*INDEX(Curves!$D$17:$O$17,1,P$5)+INDEX(Trees!$D$49:$M$49,1,P$4)*INDEX(Curves!$D$18:$O$18,1,P$5)+INDEX(Trees!$D$61:$M$61,1,P$4)*INDEX(Curves!$D$19:$O$19,1,P$5)+INDEX(Trees!$D$73:$M$73,1,P$4)*INDEX(Curves!$D$20:$O$20,1,P$5)+INDEX(Trees!$D$85:$M$85,1,P$4)*INDEX(Curves!$D$21:$O$21,1,P$5)</f>
        <v/>
      </c>
      <c r="Q22" s="25">
        <f>INDEX(Trees!$D$13:$M$13,1,Q$4)*INDEX(Curves!$D$15:$O$15,1,Q$5)+INDEX(Trees!$D$25:$M$25,1,Q$4)*INDEX(Curves!$D$16:$O$16,1,Q$5)+INDEX(Trees!$D$37:$M$37,1,Q$4)*INDEX(Curves!$D$17:$O$17,1,Q$5)+INDEX(Trees!$D$49:$M$49,1,Q$4)*INDEX(Curves!$D$18:$O$18,1,Q$5)+INDEX(Trees!$D$61:$M$61,1,Q$4)*INDEX(Curves!$D$19:$O$19,1,Q$5)+INDEX(Trees!$D$73:$M$73,1,Q$4)*INDEX(Curves!$D$20:$O$20,1,Q$5)+INDEX(Trees!$D$85:$M$85,1,Q$4)*INDEX(Curves!$D$21:$O$21,1,Q$5)</f>
        <v/>
      </c>
      <c r="R22" s="25">
        <f>INDEX(Trees!$D$13:$M$13,1,R$4)*INDEX(Curves!$D$15:$O$15,1,R$5)+INDEX(Trees!$D$25:$M$25,1,R$4)*INDEX(Curves!$D$16:$O$16,1,R$5)+INDEX(Trees!$D$37:$M$37,1,R$4)*INDEX(Curves!$D$17:$O$17,1,R$5)+INDEX(Trees!$D$49:$M$49,1,R$4)*INDEX(Curves!$D$18:$O$18,1,R$5)+INDEX(Trees!$D$61:$M$61,1,R$4)*INDEX(Curves!$D$19:$O$19,1,R$5)+INDEX(Trees!$D$73:$M$73,1,R$4)*INDEX(Curves!$D$20:$O$20,1,R$5)+INDEX(Trees!$D$85:$M$85,1,R$4)*INDEX(Curves!$D$21:$O$21,1,R$5)</f>
        <v/>
      </c>
      <c r="S22" s="25">
        <f>INDEX(Trees!$D$13:$M$13,1,S$4)*INDEX(Curves!$D$15:$O$15,1,S$5)+INDEX(Trees!$D$25:$M$25,1,S$4)*INDEX(Curves!$D$16:$O$16,1,S$5)+INDEX(Trees!$D$37:$M$37,1,S$4)*INDEX(Curves!$D$17:$O$17,1,S$5)+INDEX(Trees!$D$49:$M$49,1,S$4)*INDEX(Curves!$D$18:$O$18,1,S$5)+INDEX(Trees!$D$61:$M$61,1,S$4)*INDEX(Curves!$D$19:$O$19,1,S$5)+INDEX(Trees!$D$73:$M$73,1,S$4)*INDEX(Curves!$D$20:$O$20,1,S$5)+INDEX(Trees!$D$85:$M$85,1,S$4)*INDEX(Curves!$D$21:$O$21,1,S$5)</f>
        <v/>
      </c>
      <c r="T22" s="25">
        <f>INDEX(Trees!$D$13:$M$13,1,T$4)*INDEX(Curves!$D$15:$O$15,1,T$5)+INDEX(Trees!$D$25:$M$25,1,T$4)*INDEX(Curves!$D$16:$O$16,1,T$5)+INDEX(Trees!$D$37:$M$37,1,T$4)*INDEX(Curves!$D$17:$O$17,1,T$5)+INDEX(Trees!$D$49:$M$49,1,T$4)*INDEX(Curves!$D$18:$O$18,1,T$5)+INDEX(Trees!$D$61:$M$61,1,T$4)*INDEX(Curves!$D$19:$O$19,1,T$5)+INDEX(Trees!$D$73:$M$73,1,T$4)*INDEX(Curves!$D$20:$O$20,1,T$5)+INDEX(Trees!$D$85:$M$85,1,T$4)*INDEX(Curves!$D$21:$O$21,1,T$5)</f>
        <v/>
      </c>
      <c r="U22" s="25">
        <f>INDEX(Trees!$D$13:$M$13,1,U$4)*INDEX(Curves!$D$15:$O$15,1,U$5)+INDEX(Trees!$D$25:$M$25,1,U$4)*INDEX(Curves!$D$16:$O$16,1,U$5)+INDEX(Trees!$D$37:$M$37,1,U$4)*INDEX(Curves!$D$17:$O$17,1,U$5)+INDEX(Trees!$D$49:$M$49,1,U$4)*INDEX(Curves!$D$18:$O$18,1,U$5)+INDEX(Trees!$D$61:$M$61,1,U$4)*INDEX(Curves!$D$19:$O$19,1,U$5)+INDEX(Trees!$D$73:$M$73,1,U$4)*INDEX(Curves!$D$20:$O$20,1,U$5)+INDEX(Trees!$D$85:$M$85,1,U$4)*INDEX(Curves!$D$21:$O$21,1,U$5)</f>
        <v/>
      </c>
      <c r="V22" s="25">
        <f>INDEX(Trees!$D$13:$M$13,1,V$4)*INDEX(Curves!$D$15:$O$15,1,V$5)+INDEX(Trees!$D$25:$M$25,1,V$4)*INDEX(Curves!$D$16:$O$16,1,V$5)+INDEX(Trees!$D$37:$M$37,1,V$4)*INDEX(Curves!$D$17:$O$17,1,V$5)+INDEX(Trees!$D$49:$M$49,1,V$4)*INDEX(Curves!$D$18:$O$18,1,V$5)+INDEX(Trees!$D$61:$M$61,1,V$4)*INDEX(Curves!$D$19:$O$19,1,V$5)+INDEX(Trees!$D$73:$M$73,1,V$4)*INDEX(Curves!$D$20:$O$20,1,V$5)+INDEX(Trees!$D$85:$M$85,1,V$4)*INDEX(Curves!$D$21:$O$21,1,V$5)</f>
        <v/>
      </c>
      <c r="W22" s="25">
        <f>INDEX(Trees!$D$13:$M$13,1,W$4)*INDEX(Curves!$D$15:$O$15,1,W$5)+INDEX(Trees!$D$25:$M$25,1,W$4)*INDEX(Curves!$D$16:$O$16,1,W$5)+INDEX(Trees!$D$37:$M$37,1,W$4)*INDEX(Curves!$D$17:$O$17,1,W$5)+INDEX(Trees!$D$49:$M$49,1,W$4)*INDEX(Curves!$D$18:$O$18,1,W$5)+INDEX(Trees!$D$61:$M$61,1,W$4)*INDEX(Curves!$D$19:$O$19,1,W$5)+INDEX(Trees!$D$73:$M$73,1,W$4)*INDEX(Curves!$D$20:$O$20,1,W$5)+INDEX(Trees!$D$85:$M$85,1,W$4)*INDEX(Curves!$D$21:$O$21,1,W$5)</f>
        <v/>
      </c>
      <c r="X22" s="25">
        <f>INDEX(Trees!$D$13:$M$13,1,X$4)*INDEX(Curves!$D$15:$O$15,1,X$5)+INDEX(Trees!$D$25:$M$25,1,X$4)*INDEX(Curves!$D$16:$O$16,1,X$5)+INDEX(Trees!$D$37:$M$37,1,X$4)*INDEX(Curves!$D$17:$O$17,1,X$5)+INDEX(Trees!$D$49:$M$49,1,X$4)*INDEX(Curves!$D$18:$O$18,1,X$5)+INDEX(Trees!$D$61:$M$61,1,X$4)*INDEX(Curves!$D$19:$O$19,1,X$5)+INDEX(Trees!$D$73:$M$73,1,X$4)*INDEX(Curves!$D$20:$O$20,1,X$5)+INDEX(Trees!$D$85:$M$85,1,X$4)*INDEX(Curves!$D$21:$O$21,1,X$5)</f>
        <v/>
      </c>
      <c r="Y22" s="25">
        <f>INDEX(Trees!$D$13:$M$13,1,Y$4)*INDEX(Curves!$D$15:$O$15,1,Y$5)+INDEX(Trees!$D$25:$M$25,1,Y$4)*INDEX(Curves!$D$16:$O$16,1,Y$5)+INDEX(Trees!$D$37:$M$37,1,Y$4)*INDEX(Curves!$D$17:$O$17,1,Y$5)+INDEX(Trees!$D$49:$M$49,1,Y$4)*INDEX(Curves!$D$18:$O$18,1,Y$5)+INDEX(Trees!$D$61:$M$61,1,Y$4)*INDEX(Curves!$D$19:$O$19,1,Y$5)+INDEX(Trees!$D$73:$M$73,1,Y$4)*INDEX(Curves!$D$20:$O$20,1,Y$5)+INDEX(Trees!$D$85:$M$85,1,Y$4)*INDEX(Curves!$D$21:$O$21,1,Y$5)</f>
        <v/>
      </c>
      <c r="Z22" s="25">
        <f>INDEX(Trees!$D$13:$M$13,1,Z$4)*INDEX(Curves!$D$15:$O$15,1,Z$5)+INDEX(Trees!$D$25:$M$25,1,Z$4)*INDEX(Curves!$D$16:$O$16,1,Z$5)+INDEX(Trees!$D$37:$M$37,1,Z$4)*INDEX(Curves!$D$17:$O$17,1,Z$5)+INDEX(Trees!$D$49:$M$49,1,Z$4)*INDEX(Curves!$D$18:$O$18,1,Z$5)+INDEX(Trees!$D$61:$M$61,1,Z$4)*INDEX(Curves!$D$19:$O$19,1,Z$5)+INDEX(Trees!$D$73:$M$73,1,Z$4)*INDEX(Curves!$D$20:$O$20,1,Z$5)+INDEX(Trees!$D$85:$M$85,1,Z$4)*INDEX(Curves!$D$21:$O$21,1,Z$5)</f>
        <v/>
      </c>
      <c r="AA22" s="25">
        <f>INDEX(Trees!$D$13:$M$13,1,AA$4)*INDEX(Curves!$D$15:$O$15,1,AA$5)+INDEX(Trees!$D$25:$M$25,1,AA$4)*INDEX(Curves!$D$16:$O$16,1,AA$5)+INDEX(Trees!$D$37:$M$37,1,AA$4)*INDEX(Curves!$D$17:$O$17,1,AA$5)+INDEX(Trees!$D$49:$M$49,1,AA$4)*INDEX(Curves!$D$18:$O$18,1,AA$5)+INDEX(Trees!$D$61:$M$61,1,AA$4)*INDEX(Curves!$D$19:$O$19,1,AA$5)+INDEX(Trees!$D$73:$M$73,1,AA$4)*INDEX(Curves!$D$20:$O$20,1,AA$5)+INDEX(Trees!$D$85:$M$85,1,AA$4)*INDEX(Curves!$D$21:$O$21,1,AA$5)</f>
        <v/>
      </c>
      <c r="AB22" s="25">
        <f>INDEX(Trees!$D$13:$M$13,1,AB$4)*INDEX(Curves!$D$15:$O$15,1,AB$5)+INDEX(Trees!$D$25:$M$25,1,AB$4)*INDEX(Curves!$D$16:$O$16,1,AB$5)+INDEX(Trees!$D$37:$M$37,1,AB$4)*INDEX(Curves!$D$17:$O$17,1,AB$5)+INDEX(Trees!$D$49:$M$49,1,AB$4)*INDEX(Curves!$D$18:$O$18,1,AB$5)+INDEX(Trees!$D$61:$M$61,1,AB$4)*INDEX(Curves!$D$19:$O$19,1,AB$5)+INDEX(Trees!$D$73:$M$73,1,AB$4)*INDEX(Curves!$D$20:$O$20,1,AB$5)+INDEX(Trees!$D$85:$M$85,1,AB$4)*INDEX(Curves!$D$21:$O$21,1,AB$5)</f>
        <v/>
      </c>
      <c r="AC22" s="25">
        <f>INDEX(Trees!$D$13:$M$13,1,AC$4)*INDEX(Curves!$D$15:$O$15,1,AC$5)+INDEX(Trees!$D$25:$M$25,1,AC$4)*INDEX(Curves!$D$16:$O$16,1,AC$5)+INDEX(Trees!$D$37:$M$37,1,AC$4)*INDEX(Curves!$D$17:$O$17,1,AC$5)+INDEX(Trees!$D$49:$M$49,1,AC$4)*INDEX(Curves!$D$18:$O$18,1,AC$5)+INDEX(Trees!$D$61:$M$61,1,AC$4)*INDEX(Curves!$D$19:$O$19,1,AC$5)+INDEX(Trees!$D$73:$M$73,1,AC$4)*INDEX(Curves!$D$20:$O$20,1,AC$5)+INDEX(Trees!$D$85:$M$85,1,AC$4)*INDEX(Curves!$D$21:$O$21,1,AC$5)</f>
        <v/>
      </c>
      <c r="AD22" s="25">
        <f>INDEX(Trees!$D$13:$M$13,1,AD$4)*INDEX(Curves!$D$15:$O$15,1,AD$5)+INDEX(Trees!$D$25:$M$25,1,AD$4)*INDEX(Curves!$D$16:$O$16,1,AD$5)+INDEX(Trees!$D$37:$M$37,1,AD$4)*INDEX(Curves!$D$17:$O$17,1,AD$5)+INDEX(Trees!$D$49:$M$49,1,AD$4)*INDEX(Curves!$D$18:$O$18,1,AD$5)+INDEX(Trees!$D$61:$M$61,1,AD$4)*INDEX(Curves!$D$19:$O$19,1,AD$5)+INDEX(Trees!$D$73:$M$73,1,AD$4)*INDEX(Curves!$D$20:$O$20,1,AD$5)+INDEX(Trees!$D$85:$M$85,1,AD$4)*INDEX(Curves!$D$21:$O$21,1,AD$5)</f>
        <v/>
      </c>
      <c r="AE22" s="25">
        <f>INDEX(Trees!$D$13:$M$13,1,AE$4)*INDEX(Curves!$D$15:$O$15,1,AE$5)+INDEX(Trees!$D$25:$M$25,1,AE$4)*INDEX(Curves!$D$16:$O$16,1,AE$5)+INDEX(Trees!$D$37:$M$37,1,AE$4)*INDEX(Curves!$D$17:$O$17,1,AE$5)+INDEX(Trees!$D$49:$M$49,1,AE$4)*INDEX(Curves!$D$18:$O$18,1,AE$5)+INDEX(Trees!$D$61:$M$61,1,AE$4)*INDEX(Curves!$D$19:$O$19,1,AE$5)+INDEX(Trees!$D$73:$M$73,1,AE$4)*INDEX(Curves!$D$20:$O$20,1,AE$5)+INDEX(Trees!$D$85:$M$85,1,AE$4)*INDEX(Curves!$D$21:$O$21,1,AE$5)</f>
        <v/>
      </c>
      <c r="AF22" s="25">
        <f>INDEX(Trees!$D$13:$M$13,1,AF$4)*INDEX(Curves!$D$15:$O$15,1,AF$5)+INDEX(Trees!$D$25:$M$25,1,AF$4)*INDEX(Curves!$D$16:$O$16,1,AF$5)+INDEX(Trees!$D$37:$M$37,1,AF$4)*INDEX(Curves!$D$17:$O$17,1,AF$5)+INDEX(Trees!$D$49:$M$49,1,AF$4)*INDEX(Curves!$D$18:$O$18,1,AF$5)+INDEX(Trees!$D$61:$M$61,1,AF$4)*INDEX(Curves!$D$19:$O$19,1,AF$5)+INDEX(Trees!$D$73:$M$73,1,AF$4)*INDEX(Curves!$D$20:$O$20,1,AF$5)+INDEX(Trees!$D$85:$M$85,1,AF$4)*INDEX(Curves!$D$21:$O$21,1,AF$5)</f>
        <v/>
      </c>
      <c r="AG22" s="25">
        <f>INDEX(Trees!$D$13:$M$13,1,AG$4)*INDEX(Curves!$D$15:$O$15,1,AG$5)+INDEX(Trees!$D$25:$M$25,1,AG$4)*INDEX(Curves!$D$16:$O$16,1,AG$5)+INDEX(Trees!$D$37:$M$37,1,AG$4)*INDEX(Curves!$D$17:$O$17,1,AG$5)+INDEX(Trees!$D$49:$M$49,1,AG$4)*INDEX(Curves!$D$18:$O$18,1,AG$5)+INDEX(Trees!$D$61:$M$61,1,AG$4)*INDEX(Curves!$D$19:$O$19,1,AG$5)+INDEX(Trees!$D$73:$M$73,1,AG$4)*INDEX(Curves!$D$20:$O$20,1,AG$5)+INDEX(Trees!$D$85:$M$85,1,AG$4)*INDEX(Curves!$D$21:$O$21,1,AG$5)</f>
        <v/>
      </c>
      <c r="AH22" s="25">
        <f>INDEX(Trees!$D$13:$M$13,1,AH$4)*INDEX(Curves!$D$15:$O$15,1,AH$5)+INDEX(Trees!$D$25:$M$25,1,AH$4)*INDEX(Curves!$D$16:$O$16,1,AH$5)+INDEX(Trees!$D$37:$M$37,1,AH$4)*INDEX(Curves!$D$17:$O$17,1,AH$5)+INDEX(Trees!$D$49:$M$49,1,AH$4)*INDEX(Curves!$D$18:$O$18,1,AH$5)+INDEX(Trees!$D$61:$M$61,1,AH$4)*INDEX(Curves!$D$19:$O$19,1,AH$5)+INDEX(Trees!$D$73:$M$73,1,AH$4)*INDEX(Curves!$D$20:$O$20,1,AH$5)+INDEX(Trees!$D$85:$M$85,1,AH$4)*INDEX(Curves!$D$21:$O$21,1,AH$5)</f>
        <v/>
      </c>
      <c r="AI22" s="25">
        <f>INDEX(Trees!$D$13:$M$13,1,AI$4)*INDEX(Curves!$D$15:$O$15,1,AI$5)+INDEX(Trees!$D$25:$M$25,1,AI$4)*INDEX(Curves!$D$16:$O$16,1,AI$5)+INDEX(Trees!$D$37:$M$37,1,AI$4)*INDEX(Curves!$D$17:$O$17,1,AI$5)+INDEX(Trees!$D$49:$M$49,1,AI$4)*INDEX(Curves!$D$18:$O$18,1,AI$5)+INDEX(Trees!$D$61:$M$61,1,AI$4)*INDEX(Curves!$D$19:$O$19,1,AI$5)+INDEX(Trees!$D$73:$M$73,1,AI$4)*INDEX(Curves!$D$20:$O$20,1,AI$5)+INDEX(Trees!$D$85:$M$85,1,AI$4)*INDEX(Curves!$D$21:$O$21,1,AI$5)</f>
        <v/>
      </c>
      <c r="AJ22" s="25">
        <f>INDEX(Trees!$D$13:$M$13,1,AJ$4)*INDEX(Curves!$D$15:$O$15,1,AJ$5)+INDEX(Trees!$D$25:$M$25,1,AJ$4)*INDEX(Curves!$D$16:$O$16,1,AJ$5)+INDEX(Trees!$D$37:$M$37,1,AJ$4)*INDEX(Curves!$D$17:$O$17,1,AJ$5)+INDEX(Trees!$D$49:$M$49,1,AJ$4)*INDEX(Curves!$D$18:$O$18,1,AJ$5)+INDEX(Trees!$D$61:$M$61,1,AJ$4)*INDEX(Curves!$D$19:$O$19,1,AJ$5)+INDEX(Trees!$D$73:$M$73,1,AJ$4)*INDEX(Curves!$D$20:$O$20,1,AJ$5)+INDEX(Trees!$D$85:$M$85,1,AJ$4)*INDEX(Curves!$D$21:$O$21,1,AJ$5)</f>
        <v/>
      </c>
      <c r="AK22" s="25">
        <f>INDEX(Trees!$D$13:$M$13,1,AK$4)*INDEX(Curves!$D$15:$O$15,1,AK$5)+INDEX(Trees!$D$25:$M$25,1,AK$4)*INDEX(Curves!$D$16:$O$16,1,AK$5)+INDEX(Trees!$D$37:$M$37,1,AK$4)*INDEX(Curves!$D$17:$O$17,1,AK$5)+INDEX(Trees!$D$49:$M$49,1,AK$4)*INDEX(Curves!$D$18:$O$18,1,AK$5)+INDEX(Trees!$D$61:$M$61,1,AK$4)*INDEX(Curves!$D$19:$O$19,1,AK$5)+INDEX(Trees!$D$73:$M$73,1,AK$4)*INDEX(Curves!$D$20:$O$20,1,AK$5)+INDEX(Trees!$D$85:$M$85,1,AK$4)*INDEX(Curves!$D$21:$O$21,1,AK$5)</f>
        <v/>
      </c>
      <c r="AL22" s="25">
        <f>INDEX(Trees!$D$13:$M$13,1,AL$4)*INDEX(Curves!$D$15:$O$15,1,AL$5)+INDEX(Trees!$D$25:$M$25,1,AL$4)*INDEX(Curves!$D$16:$O$16,1,AL$5)+INDEX(Trees!$D$37:$M$37,1,AL$4)*INDEX(Curves!$D$17:$O$17,1,AL$5)+INDEX(Trees!$D$49:$M$49,1,AL$4)*INDEX(Curves!$D$18:$O$18,1,AL$5)+INDEX(Trees!$D$61:$M$61,1,AL$4)*INDEX(Curves!$D$19:$O$19,1,AL$5)+INDEX(Trees!$D$73:$M$73,1,AL$4)*INDEX(Curves!$D$20:$O$20,1,AL$5)+INDEX(Trees!$D$85:$M$85,1,AL$4)*INDEX(Curves!$D$21:$O$21,1,AL$5)</f>
        <v/>
      </c>
      <c r="AM22" s="25">
        <f>INDEX(Trees!$D$13:$M$13,1,AM$4)*INDEX(Curves!$D$15:$O$15,1,AM$5)+INDEX(Trees!$D$25:$M$25,1,AM$4)*INDEX(Curves!$D$16:$O$16,1,AM$5)+INDEX(Trees!$D$37:$M$37,1,AM$4)*INDEX(Curves!$D$17:$O$17,1,AM$5)+INDEX(Trees!$D$49:$M$49,1,AM$4)*INDEX(Curves!$D$18:$O$18,1,AM$5)+INDEX(Trees!$D$61:$M$61,1,AM$4)*INDEX(Curves!$D$19:$O$19,1,AM$5)+INDEX(Trees!$D$73:$M$73,1,AM$4)*INDEX(Curves!$D$20:$O$20,1,AM$5)+INDEX(Trees!$D$85:$M$85,1,AM$4)*INDEX(Curves!$D$21:$O$21,1,AM$5)</f>
        <v/>
      </c>
      <c r="AN22" s="25">
        <f>INDEX(Trees!$D$13:$M$13,1,AN$4)*INDEX(Curves!$D$15:$O$15,1,AN$5)+INDEX(Trees!$D$25:$M$25,1,AN$4)*INDEX(Curves!$D$16:$O$16,1,AN$5)+INDEX(Trees!$D$37:$M$37,1,AN$4)*INDEX(Curves!$D$17:$O$17,1,AN$5)+INDEX(Trees!$D$49:$M$49,1,AN$4)*INDEX(Curves!$D$18:$O$18,1,AN$5)+INDEX(Trees!$D$61:$M$61,1,AN$4)*INDEX(Curves!$D$19:$O$19,1,AN$5)+INDEX(Trees!$D$73:$M$73,1,AN$4)*INDEX(Curves!$D$20:$O$20,1,AN$5)+INDEX(Trees!$D$85:$M$85,1,AN$4)*INDEX(Curves!$D$21:$O$21,1,AN$5)</f>
        <v/>
      </c>
      <c r="AO22" s="25">
        <f>INDEX(Trees!$D$13:$M$13,1,AO$4)*INDEX(Curves!$D$15:$O$15,1,AO$5)+INDEX(Trees!$D$25:$M$25,1,AO$4)*INDEX(Curves!$D$16:$O$16,1,AO$5)+INDEX(Trees!$D$37:$M$37,1,AO$4)*INDEX(Curves!$D$17:$O$17,1,AO$5)+INDEX(Trees!$D$49:$M$49,1,AO$4)*INDEX(Curves!$D$18:$O$18,1,AO$5)+INDEX(Trees!$D$61:$M$61,1,AO$4)*INDEX(Curves!$D$19:$O$19,1,AO$5)+INDEX(Trees!$D$73:$M$73,1,AO$4)*INDEX(Curves!$D$20:$O$20,1,AO$5)+INDEX(Trees!$D$85:$M$85,1,AO$4)*INDEX(Curves!$D$21:$O$21,1,AO$5)</f>
        <v/>
      </c>
      <c r="AP22" s="25">
        <f>INDEX(Trees!$D$13:$M$13,1,AP$4)*INDEX(Curves!$D$15:$O$15,1,AP$5)+INDEX(Trees!$D$25:$M$25,1,AP$4)*INDEX(Curves!$D$16:$O$16,1,AP$5)+INDEX(Trees!$D$37:$M$37,1,AP$4)*INDEX(Curves!$D$17:$O$17,1,AP$5)+INDEX(Trees!$D$49:$M$49,1,AP$4)*INDEX(Curves!$D$18:$O$18,1,AP$5)+INDEX(Trees!$D$61:$M$61,1,AP$4)*INDEX(Curves!$D$19:$O$19,1,AP$5)+INDEX(Trees!$D$73:$M$73,1,AP$4)*INDEX(Curves!$D$20:$O$20,1,AP$5)+INDEX(Trees!$D$85:$M$85,1,AP$4)*INDEX(Curves!$D$21:$O$21,1,AP$5)</f>
        <v/>
      </c>
      <c r="AQ22" s="25">
        <f>INDEX(Trees!$D$13:$M$13,1,AQ$4)*INDEX(Curves!$D$15:$O$15,1,AQ$5)+INDEX(Trees!$D$25:$M$25,1,AQ$4)*INDEX(Curves!$D$16:$O$16,1,AQ$5)+INDEX(Trees!$D$37:$M$37,1,AQ$4)*INDEX(Curves!$D$17:$O$17,1,AQ$5)+INDEX(Trees!$D$49:$M$49,1,AQ$4)*INDEX(Curves!$D$18:$O$18,1,AQ$5)+INDEX(Trees!$D$61:$M$61,1,AQ$4)*INDEX(Curves!$D$19:$O$19,1,AQ$5)+INDEX(Trees!$D$73:$M$73,1,AQ$4)*INDEX(Curves!$D$20:$O$20,1,AQ$5)+INDEX(Trees!$D$85:$M$85,1,AQ$4)*INDEX(Curves!$D$21:$O$21,1,AQ$5)</f>
        <v/>
      </c>
      <c r="AR22" s="25">
        <f>INDEX(Trees!$D$13:$M$13,1,AR$4)*INDEX(Curves!$D$15:$O$15,1,AR$5)+INDEX(Trees!$D$25:$M$25,1,AR$4)*INDEX(Curves!$D$16:$O$16,1,AR$5)+INDEX(Trees!$D$37:$M$37,1,AR$4)*INDEX(Curves!$D$17:$O$17,1,AR$5)+INDEX(Trees!$D$49:$M$49,1,AR$4)*INDEX(Curves!$D$18:$O$18,1,AR$5)+INDEX(Trees!$D$61:$M$61,1,AR$4)*INDEX(Curves!$D$19:$O$19,1,AR$5)+INDEX(Trees!$D$73:$M$73,1,AR$4)*INDEX(Curves!$D$20:$O$20,1,AR$5)+INDEX(Trees!$D$85:$M$85,1,AR$4)*INDEX(Curves!$D$21:$O$21,1,AR$5)</f>
        <v/>
      </c>
      <c r="AS22" s="25">
        <f>INDEX(Trees!$D$13:$M$13,1,AS$4)*INDEX(Curves!$D$15:$O$15,1,AS$5)+INDEX(Trees!$D$25:$M$25,1,AS$4)*INDEX(Curves!$D$16:$O$16,1,AS$5)+INDEX(Trees!$D$37:$M$37,1,AS$4)*INDEX(Curves!$D$17:$O$17,1,AS$5)+INDEX(Trees!$D$49:$M$49,1,AS$4)*INDEX(Curves!$D$18:$O$18,1,AS$5)+INDEX(Trees!$D$61:$M$61,1,AS$4)*INDEX(Curves!$D$19:$O$19,1,AS$5)+INDEX(Trees!$D$73:$M$73,1,AS$4)*INDEX(Curves!$D$20:$O$20,1,AS$5)+INDEX(Trees!$D$85:$M$85,1,AS$4)*INDEX(Curves!$D$21:$O$21,1,AS$5)</f>
        <v/>
      </c>
      <c r="AT22" s="25">
        <f>INDEX(Trees!$D$13:$M$13,1,AT$4)*INDEX(Curves!$D$15:$O$15,1,AT$5)+INDEX(Trees!$D$25:$M$25,1,AT$4)*INDEX(Curves!$D$16:$O$16,1,AT$5)+INDEX(Trees!$D$37:$M$37,1,AT$4)*INDEX(Curves!$D$17:$O$17,1,AT$5)+INDEX(Trees!$D$49:$M$49,1,AT$4)*INDEX(Curves!$D$18:$O$18,1,AT$5)+INDEX(Trees!$D$61:$M$61,1,AT$4)*INDEX(Curves!$D$19:$O$19,1,AT$5)+INDEX(Trees!$D$73:$M$73,1,AT$4)*INDEX(Curves!$D$20:$O$20,1,AT$5)+INDEX(Trees!$D$85:$M$85,1,AT$4)*INDEX(Curves!$D$21:$O$21,1,AT$5)</f>
        <v/>
      </c>
      <c r="AU22" s="25">
        <f>INDEX(Trees!$D$13:$M$13,1,AU$4)*INDEX(Curves!$D$15:$O$15,1,AU$5)+INDEX(Trees!$D$25:$M$25,1,AU$4)*INDEX(Curves!$D$16:$O$16,1,AU$5)+INDEX(Trees!$D$37:$M$37,1,AU$4)*INDEX(Curves!$D$17:$O$17,1,AU$5)+INDEX(Trees!$D$49:$M$49,1,AU$4)*INDEX(Curves!$D$18:$O$18,1,AU$5)+INDEX(Trees!$D$61:$M$61,1,AU$4)*INDEX(Curves!$D$19:$O$19,1,AU$5)+INDEX(Trees!$D$73:$M$73,1,AU$4)*INDEX(Curves!$D$20:$O$20,1,AU$5)+INDEX(Trees!$D$85:$M$85,1,AU$4)*INDEX(Curves!$D$21:$O$21,1,AU$5)</f>
        <v/>
      </c>
      <c r="AV22" s="25">
        <f>INDEX(Trees!$D$13:$M$13,1,AV$4)*INDEX(Curves!$D$15:$O$15,1,AV$5)+INDEX(Trees!$D$25:$M$25,1,AV$4)*INDEX(Curves!$D$16:$O$16,1,AV$5)+INDEX(Trees!$D$37:$M$37,1,AV$4)*INDEX(Curves!$D$17:$O$17,1,AV$5)+INDEX(Trees!$D$49:$M$49,1,AV$4)*INDEX(Curves!$D$18:$O$18,1,AV$5)+INDEX(Trees!$D$61:$M$61,1,AV$4)*INDEX(Curves!$D$19:$O$19,1,AV$5)+INDEX(Trees!$D$73:$M$73,1,AV$4)*INDEX(Curves!$D$20:$O$20,1,AV$5)+INDEX(Trees!$D$85:$M$85,1,AV$4)*INDEX(Curves!$D$21:$O$21,1,AV$5)</f>
        <v/>
      </c>
      <c r="AW22" s="25">
        <f>INDEX(Trees!$D$13:$M$13,1,AW$4)*INDEX(Curves!$D$15:$O$15,1,AW$5)+INDEX(Trees!$D$25:$M$25,1,AW$4)*INDEX(Curves!$D$16:$O$16,1,AW$5)+INDEX(Trees!$D$37:$M$37,1,AW$4)*INDEX(Curves!$D$17:$O$17,1,AW$5)+INDEX(Trees!$D$49:$M$49,1,AW$4)*INDEX(Curves!$D$18:$O$18,1,AW$5)+INDEX(Trees!$D$61:$M$61,1,AW$4)*INDEX(Curves!$D$19:$O$19,1,AW$5)+INDEX(Trees!$D$73:$M$73,1,AW$4)*INDEX(Curves!$D$20:$O$20,1,AW$5)+INDEX(Trees!$D$85:$M$85,1,AW$4)*INDEX(Curves!$D$21:$O$21,1,AW$5)</f>
        <v/>
      </c>
      <c r="AX22" s="25">
        <f>INDEX(Trees!$D$13:$M$13,1,AX$4)*INDEX(Curves!$D$15:$O$15,1,AX$5)+INDEX(Trees!$D$25:$M$25,1,AX$4)*INDEX(Curves!$D$16:$O$16,1,AX$5)+INDEX(Trees!$D$37:$M$37,1,AX$4)*INDEX(Curves!$D$17:$O$17,1,AX$5)+INDEX(Trees!$D$49:$M$49,1,AX$4)*INDEX(Curves!$D$18:$O$18,1,AX$5)+INDEX(Trees!$D$61:$M$61,1,AX$4)*INDEX(Curves!$D$19:$O$19,1,AX$5)+INDEX(Trees!$D$73:$M$73,1,AX$4)*INDEX(Curves!$D$20:$O$20,1,AX$5)+INDEX(Trees!$D$85:$M$85,1,AX$4)*INDEX(Curves!$D$21:$O$21,1,AX$5)</f>
        <v/>
      </c>
      <c r="AY22" s="25">
        <f>INDEX(Trees!$D$13:$M$13,1,AY$4)*INDEX(Curves!$D$15:$O$15,1,AY$5)+INDEX(Trees!$D$25:$M$25,1,AY$4)*INDEX(Curves!$D$16:$O$16,1,AY$5)+INDEX(Trees!$D$37:$M$37,1,AY$4)*INDEX(Curves!$D$17:$O$17,1,AY$5)+INDEX(Trees!$D$49:$M$49,1,AY$4)*INDEX(Curves!$D$18:$O$18,1,AY$5)+INDEX(Trees!$D$61:$M$61,1,AY$4)*INDEX(Curves!$D$19:$O$19,1,AY$5)+INDEX(Trees!$D$73:$M$73,1,AY$4)*INDEX(Curves!$D$20:$O$20,1,AY$5)+INDEX(Trees!$D$85:$M$85,1,AY$4)*INDEX(Curves!$D$21:$O$21,1,AY$5)</f>
        <v/>
      </c>
      <c r="AZ22" s="25">
        <f>INDEX(Trees!$D$13:$M$13,1,AZ$4)*INDEX(Curves!$D$15:$O$15,1,AZ$5)+INDEX(Trees!$D$25:$M$25,1,AZ$4)*INDEX(Curves!$D$16:$O$16,1,AZ$5)+INDEX(Trees!$D$37:$M$37,1,AZ$4)*INDEX(Curves!$D$17:$O$17,1,AZ$5)+INDEX(Trees!$D$49:$M$49,1,AZ$4)*INDEX(Curves!$D$18:$O$18,1,AZ$5)+INDEX(Trees!$D$61:$M$61,1,AZ$4)*INDEX(Curves!$D$19:$O$19,1,AZ$5)+INDEX(Trees!$D$73:$M$73,1,AZ$4)*INDEX(Curves!$D$20:$O$20,1,AZ$5)+INDEX(Trees!$D$85:$M$85,1,AZ$4)*INDEX(Curves!$D$21:$O$21,1,AZ$5)</f>
        <v/>
      </c>
      <c r="BA22" s="25">
        <f>INDEX(Trees!$D$13:$M$13,1,BA$4)*INDEX(Curves!$D$15:$O$15,1,BA$5)+INDEX(Trees!$D$25:$M$25,1,BA$4)*INDEX(Curves!$D$16:$O$16,1,BA$5)+INDEX(Trees!$D$37:$M$37,1,BA$4)*INDEX(Curves!$D$17:$O$17,1,BA$5)+INDEX(Trees!$D$49:$M$49,1,BA$4)*INDEX(Curves!$D$18:$O$18,1,BA$5)+INDEX(Trees!$D$61:$M$61,1,BA$4)*INDEX(Curves!$D$19:$O$19,1,BA$5)+INDEX(Trees!$D$73:$M$73,1,BA$4)*INDEX(Curves!$D$20:$O$20,1,BA$5)+INDEX(Trees!$D$85:$M$85,1,BA$4)*INDEX(Curves!$D$21:$O$21,1,BA$5)</f>
        <v/>
      </c>
      <c r="BB22" s="25">
        <f>INDEX(Trees!$D$13:$M$13,1,BB$4)*INDEX(Curves!$D$15:$O$15,1,BB$5)+INDEX(Trees!$D$25:$M$25,1,BB$4)*INDEX(Curves!$D$16:$O$16,1,BB$5)+INDEX(Trees!$D$37:$M$37,1,BB$4)*INDEX(Curves!$D$17:$O$17,1,BB$5)+INDEX(Trees!$D$49:$M$49,1,BB$4)*INDEX(Curves!$D$18:$O$18,1,BB$5)+INDEX(Trees!$D$61:$M$61,1,BB$4)*INDEX(Curves!$D$19:$O$19,1,BB$5)+INDEX(Trees!$D$73:$M$73,1,BB$4)*INDEX(Curves!$D$20:$O$20,1,BB$5)+INDEX(Trees!$D$85:$M$85,1,BB$4)*INDEX(Curves!$D$21:$O$21,1,BB$5)</f>
        <v/>
      </c>
      <c r="BC22" s="25">
        <f>INDEX(Trees!$D$13:$M$13,1,BC$4)*INDEX(Curves!$D$15:$O$15,1,BC$5)+INDEX(Trees!$D$25:$M$25,1,BC$4)*INDEX(Curves!$D$16:$O$16,1,BC$5)+INDEX(Trees!$D$37:$M$37,1,BC$4)*INDEX(Curves!$D$17:$O$17,1,BC$5)+INDEX(Trees!$D$49:$M$49,1,BC$4)*INDEX(Curves!$D$18:$O$18,1,BC$5)+INDEX(Trees!$D$61:$M$61,1,BC$4)*INDEX(Curves!$D$19:$O$19,1,BC$5)+INDEX(Trees!$D$73:$M$73,1,BC$4)*INDEX(Curves!$D$20:$O$20,1,BC$5)+INDEX(Trees!$D$85:$M$85,1,BC$4)*INDEX(Curves!$D$21:$O$21,1,BC$5)</f>
        <v/>
      </c>
      <c r="BD22" s="25">
        <f>INDEX(Trees!$D$13:$M$13,1,BD$4)*INDEX(Curves!$D$15:$O$15,1,BD$5)+INDEX(Trees!$D$25:$M$25,1,BD$4)*INDEX(Curves!$D$16:$O$16,1,BD$5)+INDEX(Trees!$D$37:$M$37,1,BD$4)*INDEX(Curves!$D$17:$O$17,1,BD$5)+INDEX(Trees!$D$49:$M$49,1,BD$4)*INDEX(Curves!$D$18:$O$18,1,BD$5)+INDEX(Trees!$D$61:$M$61,1,BD$4)*INDEX(Curves!$D$19:$O$19,1,BD$5)+INDEX(Trees!$D$73:$M$73,1,BD$4)*INDEX(Curves!$D$20:$O$20,1,BD$5)+INDEX(Trees!$D$85:$M$85,1,BD$4)*INDEX(Curves!$D$21:$O$21,1,BD$5)</f>
        <v/>
      </c>
      <c r="BE22" s="25">
        <f>INDEX(Trees!$D$13:$M$13,1,BE$4)*INDEX(Curves!$D$15:$O$15,1,BE$5)+INDEX(Trees!$D$25:$M$25,1,BE$4)*INDEX(Curves!$D$16:$O$16,1,BE$5)+INDEX(Trees!$D$37:$M$37,1,BE$4)*INDEX(Curves!$D$17:$O$17,1,BE$5)+INDEX(Trees!$D$49:$M$49,1,BE$4)*INDEX(Curves!$D$18:$O$18,1,BE$5)+INDEX(Trees!$D$61:$M$61,1,BE$4)*INDEX(Curves!$D$19:$O$19,1,BE$5)+INDEX(Trees!$D$73:$M$73,1,BE$4)*INDEX(Curves!$D$20:$O$20,1,BE$5)+INDEX(Trees!$D$85:$M$85,1,BE$4)*INDEX(Curves!$D$21:$O$21,1,BE$5)</f>
        <v/>
      </c>
      <c r="BF22" s="25">
        <f>INDEX(Trees!$D$13:$M$13,1,BF$4)*INDEX(Curves!$D$15:$O$15,1,BF$5)+INDEX(Trees!$D$25:$M$25,1,BF$4)*INDEX(Curves!$D$16:$O$16,1,BF$5)+INDEX(Trees!$D$37:$M$37,1,BF$4)*INDEX(Curves!$D$17:$O$17,1,BF$5)+INDEX(Trees!$D$49:$M$49,1,BF$4)*INDEX(Curves!$D$18:$O$18,1,BF$5)+INDEX(Trees!$D$61:$M$61,1,BF$4)*INDEX(Curves!$D$19:$O$19,1,BF$5)+INDEX(Trees!$D$73:$M$73,1,BF$4)*INDEX(Curves!$D$20:$O$20,1,BF$5)+INDEX(Trees!$D$85:$M$85,1,BF$4)*INDEX(Curves!$D$21:$O$21,1,BF$5)</f>
        <v/>
      </c>
      <c r="BG22" s="25">
        <f>INDEX(Trees!$D$13:$M$13,1,BG$4)*INDEX(Curves!$D$15:$O$15,1,BG$5)+INDEX(Trees!$D$25:$M$25,1,BG$4)*INDEX(Curves!$D$16:$O$16,1,BG$5)+INDEX(Trees!$D$37:$M$37,1,BG$4)*INDEX(Curves!$D$17:$O$17,1,BG$5)+INDEX(Trees!$D$49:$M$49,1,BG$4)*INDEX(Curves!$D$18:$O$18,1,BG$5)+INDEX(Trees!$D$61:$M$61,1,BG$4)*INDEX(Curves!$D$19:$O$19,1,BG$5)+INDEX(Trees!$D$73:$M$73,1,BG$4)*INDEX(Curves!$D$20:$O$20,1,BG$5)+INDEX(Trees!$D$85:$M$85,1,BG$4)*INDEX(Curves!$D$21:$O$21,1,BG$5)</f>
        <v/>
      </c>
      <c r="BH22" s="25">
        <f>INDEX(Trees!$D$13:$M$13,1,BH$4)*INDEX(Curves!$D$15:$O$15,1,BH$5)+INDEX(Trees!$D$25:$M$25,1,BH$4)*INDEX(Curves!$D$16:$O$16,1,BH$5)+INDEX(Trees!$D$37:$M$37,1,BH$4)*INDEX(Curves!$D$17:$O$17,1,BH$5)+INDEX(Trees!$D$49:$M$49,1,BH$4)*INDEX(Curves!$D$18:$O$18,1,BH$5)+INDEX(Trees!$D$61:$M$61,1,BH$4)*INDEX(Curves!$D$19:$O$19,1,BH$5)+INDEX(Trees!$D$73:$M$73,1,BH$4)*INDEX(Curves!$D$20:$O$20,1,BH$5)+INDEX(Trees!$D$85:$M$85,1,BH$4)*INDEX(Curves!$D$21:$O$21,1,BH$5)</f>
        <v/>
      </c>
      <c r="BI22" s="25">
        <f>INDEX(Trees!$D$13:$M$13,1,BI$4)*INDEX(Curves!$D$15:$O$15,1,BI$5)+INDEX(Trees!$D$25:$M$25,1,BI$4)*INDEX(Curves!$D$16:$O$16,1,BI$5)+INDEX(Trees!$D$37:$M$37,1,BI$4)*INDEX(Curves!$D$17:$O$17,1,BI$5)+INDEX(Trees!$D$49:$M$49,1,BI$4)*INDEX(Curves!$D$18:$O$18,1,BI$5)+INDEX(Trees!$D$61:$M$61,1,BI$4)*INDEX(Curves!$D$19:$O$19,1,BI$5)+INDEX(Trees!$D$73:$M$73,1,BI$4)*INDEX(Curves!$D$20:$O$20,1,BI$5)+INDEX(Trees!$D$85:$M$85,1,BI$4)*INDEX(Curves!$D$21:$O$21,1,BI$5)</f>
        <v/>
      </c>
      <c r="BJ22" s="25">
        <f>INDEX(Trees!$D$13:$M$13,1,BJ$4)*INDEX(Curves!$D$15:$O$15,1,BJ$5)+INDEX(Trees!$D$25:$M$25,1,BJ$4)*INDEX(Curves!$D$16:$O$16,1,BJ$5)+INDEX(Trees!$D$37:$M$37,1,BJ$4)*INDEX(Curves!$D$17:$O$17,1,BJ$5)+INDEX(Trees!$D$49:$M$49,1,BJ$4)*INDEX(Curves!$D$18:$O$18,1,BJ$5)+INDEX(Trees!$D$61:$M$61,1,BJ$4)*INDEX(Curves!$D$19:$O$19,1,BJ$5)+INDEX(Trees!$D$73:$M$73,1,BJ$4)*INDEX(Curves!$D$20:$O$20,1,BJ$5)+INDEX(Trees!$D$85:$M$85,1,BJ$4)*INDEX(Curves!$D$21:$O$21,1,BJ$5)</f>
        <v/>
      </c>
      <c r="BK22" s="25">
        <f>INDEX(Trees!$D$13:$M$13,1,BK$4)*INDEX(Curves!$D$15:$O$15,1,BK$5)+INDEX(Trees!$D$25:$M$25,1,BK$4)*INDEX(Curves!$D$16:$O$16,1,BK$5)+INDEX(Trees!$D$37:$M$37,1,BK$4)*INDEX(Curves!$D$17:$O$17,1,BK$5)+INDEX(Trees!$D$49:$M$49,1,BK$4)*INDEX(Curves!$D$18:$O$18,1,BK$5)+INDEX(Trees!$D$61:$M$61,1,BK$4)*INDEX(Curves!$D$19:$O$19,1,BK$5)+INDEX(Trees!$D$73:$M$73,1,BK$4)*INDEX(Curves!$D$20:$O$20,1,BK$5)+INDEX(Trees!$D$85:$M$85,1,BK$4)*INDEX(Curves!$D$21:$O$21,1,BK$5)</f>
        <v/>
      </c>
      <c r="BL22" s="25">
        <f>INDEX(Trees!$D$13:$M$13,1,BL$4)*INDEX(Curves!$D$15:$O$15,1,BL$5)+INDEX(Trees!$D$25:$M$25,1,BL$4)*INDEX(Curves!$D$16:$O$16,1,BL$5)+INDEX(Trees!$D$37:$M$37,1,BL$4)*INDEX(Curves!$D$17:$O$17,1,BL$5)+INDEX(Trees!$D$49:$M$49,1,BL$4)*INDEX(Curves!$D$18:$O$18,1,BL$5)+INDEX(Trees!$D$61:$M$61,1,BL$4)*INDEX(Curves!$D$19:$O$19,1,BL$5)+INDEX(Trees!$D$73:$M$73,1,BL$4)*INDEX(Curves!$D$20:$O$20,1,BL$5)+INDEX(Trees!$D$85:$M$85,1,BL$4)*INDEX(Curves!$D$21:$O$21,1,BL$5)</f>
        <v/>
      </c>
      <c r="BM22" s="25">
        <f>INDEX(Trees!$D$13:$M$13,1,BM$4)*INDEX(Curves!$D$15:$O$15,1,BM$5)+INDEX(Trees!$D$25:$M$25,1,BM$4)*INDEX(Curves!$D$16:$O$16,1,BM$5)+INDEX(Trees!$D$37:$M$37,1,BM$4)*INDEX(Curves!$D$17:$O$17,1,BM$5)+INDEX(Trees!$D$49:$M$49,1,BM$4)*INDEX(Curves!$D$18:$O$18,1,BM$5)+INDEX(Trees!$D$61:$M$61,1,BM$4)*INDEX(Curves!$D$19:$O$19,1,BM$5)+INDEX(Trees!$D$73:$M$73,1,BM$4)*INDEX(Curves!$D$20:$O$20,1,BM$5)+INDEX(Trees!$D$85:$M$85,1,BM$4)*INDEX(Curves!$D$21:$O$21,1,BM$5)</f>
        <v/>
      </c>
      <c r="BN22" s="25">
        <f>INDEX(Trees!$D$13:$M$13,1,BN$4)*INDEX(Curves!$D$15:$O$15,1,BN$5)+INDEX(Trees!$D$25:$M$25,1,BN$4)*INDEX(Curves!$D$16:$O$16,1,BN$5)+INDEX(Trees!$D$37:$M$37,1,BN$4)*INDEX(Curves!$D$17:$O$17,1,BN$5)+INDEX(Trees!$D$49:$M$49,1,BN$4)*INDEX(Curves!$D$18:$O$18,1,BN$5)+INDEX(Trees!$D$61:$M$61,1,BN$4)*INDEX(Curves!$D$19:$O$19,1,BN$5)+INDEX(Trees!$D$73:$M$73,1,BN$4)*INDEX(Curves!$D$20:$O$20,1,BN$5)+INDEX(Trees!$D$85:$M$85,1,BN$4)*INDEX(Curves!$D$21:$O$21,1,BN$5)</f>
        <v/>
      </c>
      <c r="BO22" s="25">
        <f>INDEX(Trees!$D$13:$M$13,1,BO$4)*INDEX(Curves!$D$15:$O$15,1,BO$5)+INDEX(Trees!$D$25:$M$25,1,BO$4)*INDEX(Curves!$D$16:$O$16,1,BO$5)+INDEX(Trees!$D$37:$M$37,1,BO$4)*INDEX(Curves!$D$17:$O$17,1,BO$5)+INDEX(Trees!$D$49:$M$49,1,BO$4)*INDEX(Curves!$D$18:$O$18,1,BO$5)+INDEX(Trees!$D$61:$M$61,1,BO$4)*INDEX(Curves!$D$19:$O$19,1,BO$5)+INDEX(Trees!$D$73:$M$73,1,BO$4)*INDEX(Curves!$D$20:$O$20,1,BO$5)+INDEX(Trees!$D$85:$M$85,1,BO$4)*INDEX(Curves!$D$21:$O$21,1,BO$5)</f>
        <v/>
      </c>
      <c r="BP22" s="25">
        <f>INDEX(Trees!$D$13:$M$13,1,BP$4)*INDEX(Curves!$D$15:$O$15,1,BP$5)+INDEX(Trees!$D$25:$M$25,1,BP$4)*INDEX(Curves!$D$16:$O$16,1,BP$5)+INDEX(Trees!$D$37:$M$37,1,BP$4)*INDEX(Curves!$D$17:$O$17,1,BP$5)+INDEX(Trees!$D$49:$M$49,1,BP$4)*INDEX(Curves!$D$18:$O$18,1,BP$5)+INDEX(Trees!$D$61:$M$61,1,BP$4)*INDEX(Curves!$D$19:$O$19,1,BP$5)+INDEX(Trees!$D$73:$M$73,1,BP$4)*INDEX(Curves!$D$20:$O$20,1,BP$5)+INDEX(Trees!$D$85:$M$85,1,BP$4)*INDEX(Curves!$D$21:$O$21,1,BP$5)</f>
        <v/>
      </c>
      <c r="BQ22" s="25">
        <f>INDEX(Trees!$D$13:$M$13,1,BQ$4)*INDEX(Curves!$D$15:$O$15,1,BQ$5)+INDEX(Trees!$D$25:$M$25,1,BQ$4)*INDEX(Curves!$D$16:$O$16,1,BQ$5)+INDEX(Trees!$D$37:$M$37,1,BQ$4)*INDEX(Curves!$D$17:$O$17,1,BQ$5)+INDEX(Trees!$D$49:$M$49,1,BQ$4)*INDEX(Curves!$D$18:$O$18,1,BQ$5)+INDEX(Trees!$D$61:$M$61,1,BQ$4)*INDEX(Curves!$D$19:$O$19,1,BQ$5)+INDEX(Trees!$D$73:$M$73,1,BQ$4)*INDEX(Curves!$D$20:$O$20,1,BQ$5)+INDEX(Trees!$D$85:$M$85,1,BQ$4)*INDEX(Curves!$D$21:$O$21,1,BQ$5)</f>
        <v/>
      </c>
      <c r="BR22" s="25">
        <f>INDEX(Trees!$D$13:$M$13,1,BR$4)*INDEX(Curves!$D$15:$O$15,1,BR$5)+INDEX(Trees!$D$25:$M$25,1,BR$4)*INDEX(Curves!$D$16:$O$16,1,BR$5)+INDEX(Trees!$D$37:$M$37,1,BR$4)*INDEX(Curves!$D$17:$O$17,1,BR$5)+INDEX(Trees!$D$49:$M$49,1,BR$4)*INDEX(Curves!$D$18:$O$18,1,BR$5)+INDEX(Trees!$D$61:$M$61,1,BR$4)*INDEX(Curves!$D$19:$O$19,1,BR$5)+INDEX(Trees!$D$73:$M$73,1,BR$4)*INDEX(Curves!$D$20:$O$20,1,BR$5)+INDEX(Trees!$D$85:$M$85,1,BR$4)*INDEX(Curves!$D$21:$O$21,1,BR$5)</f>
        <v/>
      </c>
      <c r="BS22" s="25">
        <f>INDEX(Trees!$D$13:$M$13,1,BS$4)*INDEX(Curves!$D$15:$O$15,1,BS$5)+INDEX(Trees!$D$25:$M$25,1,BS$4)*INDEX(Curves!$D$16:$O$16,1,BS$5)+INDEX(Trees!$D$37:$M$37,1,BS$4)*INDEX(Curves!$D$17:$O$17,1,BS$5)+INDEX(Trees!$D$49:$M$49,1,BS$4)*INDEX(Curves!$D$18:$O$18,1,BS$5)+INDEX(Trees!$D$61:$M$61,1,BS$4)*INDEX(Curves!$D$19:$O$19,1,BS$5)+INDEX(Trees!$D$73:$M$73,1,BS$4)*INDEX(Curves!$D$20:$O$20,1,BS$5)+INDEX(Trees!$D$85:$M$85,1,BS$4)*INDEX(Curves!$D$21:$O$21,1,BS$5)</f>
        <v/>
      </c>
      <c r="BT22" s="25">
        <f>INDEX(Trees!$D$13:$M$13,1,BT$4)*INDEX(Curves!$D$15:$O$15,1,BT$5)+INDEX(Trees!$D$25:$M$25,1,BT$4)*INDEX(Curves!$D$16:$O$16,1,BT$5)+INDEX(Trees!$D$37:$M$37,1,BT$4)*INDEX(Curves!$D$17:$O$17,1,BT$5)+INDEX(Trees!$D$49:$M$49,1,BT$4)*INDEX(Curves!$D$18:$O$18,1,BT$5)+INDEX(Trees!$D$61:$M$61,1,BT$4)*INDEX(Curves!$D$19:$O$19,1,BT$5)+INDEX(Trees!$D$73:$M$73,1,BT$4)*INDEX(Curves!$D$20:$O$20,1,BT$5)+INDEX(Trees!$D$85:$M$85,1,BT$4)*INDEX(Curves!$D$21:$O$21,1,BT$5)</f>
        <v/>
      </c>
      <c r="BU22" s="25">
        <f>INDEX(Trees!$D$13:$M$13,1,BU$4)*INDEX(Curves!$D$15:$O$15,1,BU$5)+INDEX(Trees!$D$25:$M$25,1,BU$4)*INDEX(Curves!$D$16:$O$16,1,BU$5)+INDEX(Trees!$D$37:$M$37,1,BU$4)*INDEX(Curves!$D$17:$O$17,1,BU$5)+INDEX(Trees!$D$49:$M$49,1,BU$4)*INDEX(Curves!$D$18:$O$18,1,BU$5)+INDEX(Trees!$D$61:$M$61,1,BU$4)*INDEX(Curves!$D$19:$O$19,1,BU$5)+INDEX(Trees!$D$73:$M$73,1,BU$4)*INDEX(Curves!$D$20:$O$20,1,BU$5)+INDEX(Trees!$D$85:$M$85,1,BU$4)*INDEX(Curves!$D$21:$O$21,1,BU$5)</f>
        <v/>
      </c>
      <c r="BV22" s="25">
        <f>INDEX(Trees!$D$13:$M$13,1,BV$4)*INDEX(Curves!$D$15:$O$15,1,BV$5)+INDEX(Trees!$D$25:$M$25,1,BV$4)*INDEX(Curves!$D$16:$O$16,1,BV$5)+INDEX(Trees!$D$37:$M$37,1,BV$4)*INDEX(Curves!$D$17:$O$17,1,BV$5)+INDEX(Trees!$D$49:$M$49,1,BV$4)*INDEX(Curves!$D$18:$O$18,1,BV$5)+INDEX(Trees!$D$61:$M$61,1,BV$4)*INDEX(Curves!$D$19:$O$19,1,BV$5)+INDEX(Trees!$D$73:$M$73,1,BV$4)*INDEX(Curves!$D$20:$O$20,1,BV$5)+INDEX(Trees!$D$85:$M$85,1,BV$4)*INDEX(Curves!$D$21:$O$21,1,BV$5)</f>
        <v/>
      </c>
      <c r="BW22" s="25">
        <f>INDEX(Trees!$D$13:$M$13,1,BW$4)*INDEX(Curves!$D$15:$O$15,1,BW$5)+INDEX(Trees!$D$25:$M$25,1,BW$4)*INDEX(Curves!$D$16:$O$16,1,BW$5)+INDEX(Trees!$D$37:$M$37,1,BW$4)*INDEX(Curves!$D$17:$O$17,1,BW$5)+INDEX(Trees!$D$49:$M$49,1,BW$4)*INDEX(Curves!$D$18:$O$18,1,BW$5)+INDEX(Trees!$D$61:$M$61,1,BW$4)*INDEX(Curves!$D$19:$O$19,1,BW$5)+INDEX(Trees!$D$73:$M$73,1,BW$4)*INDEX(Curves!$D$20:$O$20,1,BW$5)+INDEX(Trees!$D$85:$M$85,1,BW$4)*INDEX(Curves!$D$21:$O$21,1,BW$5)</f>
        <v/>
      </c>
      <c r="BX22" s="25">
        <f>INDEX(Trees!$D$13:$M$13,1,BX$4)*INDEX(Curves!$D$15:$O$15,1,BX$5)+INDEX(Trees!$D$25:$M$25,1,BX$4)*INDEX(Curves!$D$16:$O$16,1,BX$5)+INDEX(Trees!$D$37:$M$37,1,BX$4)*INDEX(Curves!$D$17:$O$17,1,BX$5)+INDEX(Trees!$D$49:$M$49,1,BX$4)*INDEX(Curves!$D$18:$O$18,1,BX$5)+INDEX(Trees!$D$61:$M$61,1,BX$4)*INDEX(Curves!$D$19:$O$19,1,BX$5)+INDEX(Trees!$D$73:$M$73,1,BX$4)*INDEX(Curves!$D$20:$O$20,1,BX$5)+INDEX(Trees!$D$85:$M$85,1,BX$4)*INDEX(Curves!$D$21:$O$21,1,BX$5)</f>
        <v/>
      </c>
      <c r="BY22" s="25">
        <f>INDEX(Trees!$D$13:$M$13,1,BY$4)*INDEX(Curves!$D$15:$O$15,1,BY$5)+INDEX(Trees!$D$25:$M$25,1,BY$4)*INDEX(Curves!$D$16:$O$16,1,BY$5)+INDEX(Trees!$D$37:$M$37,1,BY$4)*INDEX(Curves!$D$17:$O$17,1,BY$5)+INDEX(Trees!$D$49:$M$49,1,BY$4)*INDEX(Curves!$D$18:$O$18,1,BY$5)+INDEX(Trees!$D$61:$M$61,1,BY$4)*INDEX(Curves!$D$19:$O$19,1,BY$5)+INDEX(Trees!$D$73:$M$73,1,BY$4)*INDEX(Curves!$D$20:$O$20,1,BY$5)+INDEX(Trees!$D$85:$M$85,1,BY$4)*INDEX(Curves!$D$21:$O$21,1,BY$5)</f>
        <v/>
      </c>
      <c r="BZ22" s="25">
        <f>INDEX(Trees!$D$13:$M$13,1,BZ$4)*INDEX(Curves!$D$15:$O$15,1,BZ$5)+INDEX(Trees!$D$25:$M$25,1,BZ$4)*INDEX(Curves!$D$16:$O$16,1,BZ$5)+INDEX(Trees!$D$37:$M$37,1,BZ$4)*INDEX(Curves!$D$17:$O$17,1,BZ$5)+INDEX(Trees!$D$49:$M$49,1,BZ$4)*INDEX(Curves!$D$18:$O$18,1,BZ$5)+INDEX(Trees!$D$61:$M$61,1,BZ$4)*INDEX(Curves!$D$19:$O$19,1,BZ$5)+INDEX(Trees!$D$73:$M$73,1,BZ$4)*INDEX(Curves!$D$20:$O$20,1,BZ$5)+INDEX(Trees!$D$85:$M$85,1,BZ$4)*INDEX(Curves!$D$21:$O$21,1,BZ$5)</f>
        <v/>
      </c>
      <c r="CA22" s="25">
        <f>INDEX(Trees!$D$13:$M$13,1,CA$4)*INDEX(Curves!$D$15:$O$15,1,CA$5)+INDEX(Trees!$D$25:$M$25,1,CA$4)*INDEX(Curves!$D$16:$O$16,1,CA$5)+INDEX(Trees!$D$37:$M$37,1,CA$4)*INDEX(Curves!$D$17:$O$17,1,CA$5)+INDEX(Trees!$D$49:$M$49,1,CA$4)*INDEX(Curves!$D$18:$O$18,1,CA$5)+INDEX(Trees!$D$61:$M$61,1,CA$4)*INDEX(Curves!$D$19:$O$19,1,CA$5)+INDEX(Trees!$D$73:$M$73,1,CA$4)*INDEX(Curves!$D$20:$O$20,1,CA$5)+INDEX(Trees!$D$85:$M$85,1,CA$4)*INDEX(Curves!$D$21:$O$21,1,CA$5)</f>
        <v/>
      </c>
      <c r="CB22" s="25">
        <f>INDEX(Trees!$D$13:$M$13,1,CB$4)*INDEX(Curves!$D$15:$O$15,1,CB$5)+INDEX(Trees!$D$25:$M$25,1,CB$4)*INDEX(Curves!$D$16:$O$16,1,CB$5)+INDEX(Trees!$D$37:$M$37,1,CB$4)*INDEX(Curves!$D$17:$O$17,1,CB$5)+INDEX(Trees!$D$49:$M$49,1,CB$4)*INDEX(Curves!$D$18:$O$18,1,CB$5)+INDEX(Trees!$D$61:$M$61,1,CB$4)*INDEX(Curves!$D$19:$O$19,1,CB$5)+INDEX(Trees!$D$73:$M$73,1,CB$4)*INDEX(Curves!$D$20:$O$20,1,CB$5)+INDEX(Trees!$D$85:$M$85,1,CB$4)*INDEX(Curves!$D$21:$O$21,1,CB$5)</f>
        <v/>
      </c>
      <c r="CC22" s="25">
        <f>INDEX(Trees!$D$13:$M$13,1,CC$4)*INDEX(Curves!$D$15:$O$15,1,CC$5)+INDEX(Trees!$D$25:$M$25,1,CC$4)*INDEX(Curves!$D$16:$O$16,1,CC$5)+INDEX(Trees!$D$37:$M$37,1,CC$4)*INDEX(Curves!$D$17:$O$17,1,CC$5)+INDEX(Trees!$D$49:$M$49,1,CC$4)*INDEX(Curves!$D$18:$O$18,1,CC$5)+INDEX(Trees!$D$61:$M$61,1,CC$4)*INDEX(Curves!$D$19:$O$19,1,CC$5)+INDEX(Trees!$D$73:$M$73,1,CC$4)*INDEX(Curves!$D$20:$O$20,1,CC$5)+INDEX(Trees!$D$85:$M$85,1,CC$4)*INDEX(Curves!$D$21:$O$21,1,CC$5)</f>
        <v/>
      </c>
      <c r="CD22" s="25">
        <f>INDEX(Trees!$D$13:$M$13,1,CD$4)*INDEX(Curves!$D$15:$O$15,1,CD$5)+INDEX(Trees!$D$25:$M$25,1,CD$4)*INDEX(Curves!$D$16:$O$16,1,CD$5)+INDEX(Trees!$D$37:$M$37,1,CD$4)*INDEX(Curves!$D$17:$O$17,1,CD$5)+INDEX(Trees!$D$49:$M$49,1,CD$4)*INDEX(Curves!$D$18:$O$18,1,CD$5)+INDEX(Trees!$D$61:$M$61,1,CD$4)*INDEX(Curves!$D$19:$O$19,1,CD$5)+INDEX(Trees!$D$73:$M$73,1,CD$4)*INDEX(Curves!$D$20:$O$20,1,CD$5)+INDEX(Trees!$D$85:$M$85,1,CD$4)*INDEX(Curves!$D$21:$O$21,1,CD$5)</f>
        <v/>
      </c>
      <c r="CE22" s="25">
        <f>INDEX(Trees!$D$13:$M$13,1,CE$4)*INDEX(Curves!$D$15:$O$15,1,CE$5)+INDEX(Trees!$D$25:$M$25,1,CE$4)*INDEX(Curves!$D$16:$O$16,1,CE$5)+INDEX(Trees!$D$37:$M$37,1,CE$4)*INDEX(Curves!$D$17:$O$17,1,CE$5)+INDEX(Trees!$D$49:$M$49,1,CE$4)*INDEX(Curves!$D$18:$O$18,1,CE$5)+INDEX(Trees!$D$61:$M$61,1,CE$4)*INDEX(Curves!$D$19:$O$19,1,CE$5)+INDEX(Trees!$D$73:$M$73,1,CE$4)*INDEX(Curves!$D$20:$O$20,1,CE$5)+INDEX(Trees!$D$85:$M$85,1,CE$4)*INDEX(Curves!$D$21:$O$21,1,CE$5)</f>
        <v/>
      </c>
      <c r="CF22" s="25">
        <f>INDEX(Trees!$D$13:$M$13,1,CF$4)*INDEX(Curves!$D$15:$O$15,1,CF$5)+INDEX(Trees!$D$25:$M$25,1,CF$4)*INDEX(Curves!$D$16:$O$16,1,CF$5)+INDEX(Trees!$D$37:$M$37,1,CF$4)*INDEX(Curves!$D$17:$O$17,1,CF$5)+INDEX(Trees!$D$49:$M$49,1,CF$4)*INDEX(Curves!$D$18:$O$18,1,CF$5)+INDEX(Trees!$D$61:$M$61,1,CF$4)*INDEX(Curves!$D$19:$O$19,1,CF$5)+INDEX(Trees!$D$73:$M$73,1,CF$4)*INDEX(Curves!$D$20:$O$20,1,CF$5)+INDEX(Trees!$D$85:$M$85,1,CF$4)*INDEX(Curves!$D$21:$O$21,1,CF$5)</f>
        <v/>
      </c>
      <c r="CG22" s="25">
        <f>INDEX(Trees!$D$13:$M$13,1,CG$4)*INDEX(Curves!$D$15:$O$15,1,CG$5)+INDEX(Trees!$D$25:$M$25,1,CG$4)*INDEX(Curves!$D$16:$O$16,1,CG$5)+INDEX(Trees!$D$37:$M$37,1,CG$4)*INDEX(Curves!$D$17:$O$17,1,CG$5)+INDEX(Trees!$D$49:$M$49,1,CG$4)*INDEX(Curves!$D$18:$O$18,1,CG$5)+INDEX(Trees!$D$61:$M$61,1,CG$4)*INDEX(Curves!$D$19:$O$19,1,CG$5)+INDEX(Trees!$D$73:$M$73,1,CG$4)*INDEX(Curves!$D$20:$O$20,1,CG$5)+INDEX(Trees!$D$85:$M$85,1,CG$4)*INDEX(Curves!$D$21:$O$21,1,CG$5)</f>
        <v/>
      </c>
      <c r="CH22" s="25">
        <f>INDEX(Trees!$D$13:$M$13,1,CH$4)*INDEX(Curves!$D$15:$O$15,1,CH$5)+INDEX(Trees!$D$25:$M$25,1,CH$4)*INDEX(Curves!$D$16:$O$16,1,CH$5)+INDEX(Trees!$D$37:$M$37,1,CH$4)*INDEX(Curves!$D$17:$O$17,1,CH$5)+INDEX(Trees!$D$49:$M$49,1,CH$4)*INDEX(Curves!$D$18:$O$18,1,CH$5)+INDEX(Trees!$D$61:$M$61,1,CH$4)*INDEX(Curves!$D$19:$O$19,1,CH$5)+INDEX(Trees!$D$73:$M$73,1,CH$4)*INDEX(Curves!$D$20:$O$20,1,CH$5)+INDEX(Trees!$D$85:$M$85,1,CH$4)*INDEX(Curves!$D$21:$O$21,1,CH$5)</f>
        <v/>
      </c>
      <c r="CI22" s="25">
        <f>INDEX(Trees!$D$13:$M$13,1,CI$4)*INDEX(Curves!$D$15:$O$15,1,CI$5)+INDEX(Trees!$D$25:$M$25,1,CI$4)*INDEX(Curves!$D$16:$O$16,1,CI$5)+INDEX(Trees!$D$37:$M$37,1,CI$4)*INDEX(Curves!$D$17:$O$17,1,CI$5)+INDEX(Trees!$D$49:$M$49,1,CI$4)*INDEX(Curves!$D$18:$O$18,1,CI$5)+INDEX(Trees!$D$61:$M$61,1,CI$4)*INDEX(Curves!$D$19:$O$19,1,CI$5)+INDEX(Trees!$D$73:$M$73,1,CI$4)*INDEX(Curves!$D$20:$O$20,1,CI$5)+INDEX(Trees!$D$85:$M$85,1,CI$4)*INDEX(Curves!$D$21:$O$21,1,CI$5)</f>
        <v/>
      </c>
      <c r="CJ22" s="25">
        <f>INDEX(Trees!$D$13:$M$13,1,CJ$4)*INDEX(Curves!$D$15:$O$15,1,CJ$5)+INDEX(Trees!$D$25:$M$25,1,CJ$4)*INDEX(Curves!$D$16:$O$16,1,CJ$5)+INDEX(Trees!$D$37:$M$37,1,CJ$4)*INDEX(Curves!$D$17:$O$17,1,CJ$5)+INDEX(Trees!$D$49:$M$49,1,CJ$4)*INDEX(Curves!$D$18:$O$18,1,CJ$5)+INDEX(Trees!$D$61:$M$61,1,CJ$4)*INDEX(Curves!$D$19:$O$19,1,CJ$5)+INDEX(Trees!$D$73:$M$73,1,CJ$4)*INDEX(Curves!$D$20:$O$20,1,CJ$5)+INDEX(Trees!$D$85:$M$85,1,CJ$4)*INDEX(Curves!$D$21:$O$21,1,CJ$5)</f>
        <v/>
      </c>
      <c r="CK22" s="25">
        <f>INDEX(Trees!$D$13:$M$13,1,CK$4)*INDEX(Curves!$D$15:$O$15,1,CK$5)+INDEX(Trees!$D$25:$M$25,1,CK$4)*INDEX(Curves!$D$16:$O$16,1,CK$5)+INDEX(Trees!$D$37:$M$37,1,CK$4)*INDEX(Curves!$D$17:$O$17,1,CK$5)+INDEX(Trees!$D$49:$M$49,1,CK$4)*INDEX(Curves!$D$18:$O$18,1,CK$5)+INDEX(Trees!$D$61:$M$61,1,CK$4)*INDEX(Curves!$D$19:$O$19,1,CK$5)+INDEX(Trees!$D$73:$M$73,1,CK$4)*INDEX(Curves!$D$20:$O$20,1,CK$5)+INDEX(Trees!$D$85:$M$85,1,CK$4)*INDEX(Curves!$D$21:$O$21,1,CK$5)</f>
        <v/>
      </c>
      <c r="CL22" s="25">
        <f>INDEX(Trees!$D$13:$M$13,1,CL$4)*INDEX(Curves!$D$15:$O$15,1,CL$5)+INDEX(Trees!$D$25:$M$25,1,CL$4)*INDEX(Curves!$D$16:$O$16,1,CL$5)+INDEX(Trees!$D$37:$M$37,1,CL$4)*INDEX(Curves!$D$17:$O$17,1,CL$5)+INDEX(Trees!$D$49:$M$49,1,CL$4)*INDEX(Curves!$D$18:$O$18,1,CL$5)+INDEX(Trees!$D$61:$M$61,1,CL$4)*INDEX(Curves!$D$19:$O$19,1,CL$5)+INDEX(Trees!$D$73:$M$73,1,CL$4)*INDEX(Curves!$D$20:$O$20,1,CL$5)+INDEX(Trees!$D$85:$M$85,1,CL$4)*INDEX(Curves!$D$21:$O$21,1,CL$5)</f>
        <v/>
      </c>
      <c r="CM22" s="25">
        <f>INDEX(Trees!$D$13:$M$13,1,CM$4)*INDEX(Curves!$D$15:$O$15,1,CM$5)+INDEX(Trees!$D$25:$M$25,1,CM$4)*INDEX(Curves!$D$16:$O$16,1,CM$5)+INDEX(Trees!$D$37:$M$37,1,CM$4)*INDEX(Curves!$D$17:$O$17,1,CM$5)+INDEX(Trees!$D$49:$M$49,1,CM$4)*INDEX(Curves!$D$18:$O$18,1,CM$5)+INDEX(Trees!$D$61:$M$61,1,CM$4)*INDEX(Curves!$D$19:$O$19,1,CM$5)+INDEX(Trees!$D$73:$M$73,1,CM$4)*INDEX(Curves!$D$20:$O$20,1,CM$5)+INDEX(Trees!$D$85:$M$85,1,CM$4)*INDEX(Curves!$D$21:$O$21,1,CM$5)</f>
        <v/>
      </c>
      <c r="CN22" s="25">
        <f>INDEX(Trees!$D$13:$M$13,1,CN$4)*INDEX(Curves!$D$15:$O$15,1,CN$5)+INDEX(Trees!$D$25:$M$25,1,CN$4)*INDEX(Curves!$D$16:$O$16,1,CN$5)+INDEX(Trees!$D$37:$M$37,1,CN$4)*INDEX(Curves!$D$17:$O$17,1,CN$5)+INDEX(Trees!$D$49:$M$49,1,CN$4)*INDEX(Curves!$D$18:$O$18,1,CN$5)+INDEX(Trees!$D$61:$M$61,1,CN$4)*INDEX(Curves!$D$19:$O$19,1,CN$5)+INDEX(Trees!$D$73:$M$73,1,CN$4)*INDEX(Curves!$D$20:$O$20,1,CN$5)+INDEX(Trees!$D$85:$M$85,1,CN$4)*INDEX(Curves!$D$21:$O$21,1,CN$5)</f>
        <v/>
      </c>
      <c r="CO22" s="25">
        <f>INDEX(Trees!$D$13:$M$13,1,CO$4)*INDEX(Curves!$D$15:$O$15,1,CO$5)+INDEX(Trees!$D$25:$M$25,1,CO$4)*INDEX(Curves!$D$16:$O$16,1,CO$5)+INDEX(Trees!$D$37:$M$37,1,CO$4)*INDEX(Curves!$D$17:$O$17,1,CO$5)+INDEX(Trees!$D$49:$M$49,1,CO$4)*INDEX(Curves!$D$18:$O$18,1,CO$5)+INDEX(Trees!$D$61:$M$61,1,CO$4)*INDEX(Curves!$D$19:$O$19,1,CO$5)+INDEX(Trees!$D$73:$M$73,1,CO$4)*INDEX(Curves!$D$20:$O$20,1,CO$5)+INDEX(Trees!$D$85:$M$85,1,CO$4)*INDEX(Curves!$D$21:$O$21,1,CO$5)</f>
        <v/>
      </c>
      <c r="CP22" s="25">
        <f>INDEX(Trees!$D$13:$M$13,1,CP$4)*INDEX(Curves!$D$15:$O$15,1,CP$5)+INDEX(Trees!$D$25:$M$25,1,CP$4)*INDEX(Curves!$D$16:$O$16,1,CP$5)+INDEX(Trees!$D$37:$M$37,1,CP$4)*INDEX(Curves!$D$17:$O$17,1,CP$5)+INDEX(Trees!$D$49:$M$49,1,CP$4)*INDEX(Curves!$D$18:$O$18,1,CP$5)+INDEX(Trees!$D$61:$M$61,1,CP$4)*INDEX(Curves!$D$19:$O$19,1,CP$5)+INDEX(Trees!$D$73:$M$73,1,CP$4)*INDEX(Curves!$D$20:$O$20,1,CP$5)+INDEX(Trees!$D$85:$M$85,1,CP$4)*INDEX(Curves!$D$21:$O$21,1,CP$5)</f>
        <v/>
      </c>
      <c r="CQ22" s="25">
        <f>INDEX(Trees!$D$13:$M$13,1,CQ$4)*INDEX(Curves!$D$15:$O$15,1,CQ$5)+INDEX(Trees!$D$25:$M$25,1,CQ$4)*INDEX(Curves!$D$16:$O$16,1,CQ$5)+INDEX(Trees!$D$37:$M$37,1,CQ$4)*INDEX(Curves!$D$17:$O$17,1,CQ$5)+INDEX(Trees!$D$49:$M$49,1,CQ$4)*INDEX(Curves!$D$18:$O$18,1,CQ$5)+INDEX(Trees!$D$61:$M$61,1,CQ$4)*INDEX(Curves!$D$19:$O$19,1,CQ$5)+INDEX(Trees!$D$73:$M$73,1,CQ$4)*INDEX(Curves!$D$20:$O$20,1,CQ$5)+INDEX(Trees!$D$85:$M$85,1,CQ$4)*INDEX(Curves!$D$21:$O$21,1,CQ$5)</f>
        <v/>
      </c>
      <c r="CR22" s="25">
        <f>INDEX(Trees!$D$13:$M$13,1,CR$4)*INDEX(Curves!$D$15:$O$15,1,CR$5)+INDEX(Trees!$D$25:$M$25,1,CR$4)*INDEX(Curves!$D$16:$O$16,1,CR$5)+INDEX(Trees!$D$37:$M$37,1,CR$4)*INDEX(Curves!$D$17:$O$17,1,CR$5)+INDEX(Trees!$D$49:$M$49,1,CR$4)*INDEX(Curves!$D$18:$O$18,1,CR$5)+INDEX(Trees!$D$61:$M$61,1,CR$4)*INDEX(Curves!$D$19:$O$19,1,CR$5)+INDEX(Trees!$D$73:$M$73,1,CR$4)*INDEX(Curves!$D$20:$O$20,1,CR$5)+INDEX(Trees!$D$85:$M$85,1,CR$4)*INDEX(Curves!$D$21:$O$21,1,CR$5)</f>
        <v/>
      </c>
      <c r="CS22" s="25">
        <f>INDEX(Trees!$D$13:$M$13,1,CS$4)*INDEX(Curves!$D$15:$O$15,1,CS$5)+INDEX(Trees!$D$25:$M$25,1,CS$4)*INDEX(Curves!$D$16:$O$16,1,CS$5)+INDEX(Trees!$D$37:$M$37,1,CS$4)*INDEX(Curves!$D$17:$O$17,1,CS$5)+INDEX(Trees!$D$49:$M$49,1,CS$4)*INDEX(Curves!$D$18:$O$18,1,CS$5)+INDEX(Trees!$D$61:$M$61,1,CS$4)*INDEX(Curves!$D$19:$O$19,1,CS$5)+INDEX(Trees!$D$73:$M$73,1,CS$4)*INDEX(Curves!$D$20:$O$20,1,CS$5)+INDEX(Trees!$D$85:$M$85,1,CS$4)*INDEX(Curves!$D$21:$O$21,1,CS$5)</f>
        <v/>
      </c>
      <c r="CT22" s="25">
        <f>INDEX(Trees!$D$13:$M$13,1,CT$4)*INDEX(Curves!$D$15:$O$15,1,CT$5)+INDEX(Trees!$D$25:$M$25,1,CT$4)*INDEX(Curves!$D$16:$O$16,1,CT$5)+INDEX(Trees!$D$37:$M$37,1,CT$4)*INDEX(Curves!$D$17:$O$17,1,CT$5)+INDEX(Trees!$D$49:$M$49,1,CT$4)*INDEX(Curves!$D$18:$O$18,1,CT$5)+INDEX(Trees!$D$61:$M$61,1,CT$4)*INDEX(Curves!$D$19:$O$19,1,CT$5)+INDEX(Trees!$D$73:$M$73,1,CT$4)*INDEX(Curves!$D$20:$O$20,1,CT$5)+INDEX(Trees!$D$85:$M$85,1,CT$4)*INDEX(Curves!$D$21:$O$21,1,CT$5)</f>
        <v/>
      </c>
      <c r="CU22" s="25">
        <f>INDEX(Trees!$D$13:$M$13,1,CU$4)*INDEX(Curves!$D$15:$O$15,1,CU$5)+INDEX(Trees!$D$25:$M$25,1,CU$4)*INDEX(Curves!$D$16:$O$16,1,CU$5)+INDEX(Trees!$D$37:$M$37,1,CU$4)*INDEX(Curves!$D$17:$O$17,1,CU$5)+INDEX(Trees!$D$49:$M$49,1,CU$4)*INDEX(Curves!$D$18:$O$18,1,CU$5)+INDEX(Trees!$D$61:$M$61,1,CU$4)*INDEX(Curves!$D$19:$O$19,1,CU$5)+INDEX(Trees!$D$73:$M$73,1,CU$4)*INDEX(Curves!$D$20:$O$20,1,CU$5)+INDEX(Trees!$D$85:$M$85,1,CU$4)*INDEX(Curves!$D$21:$O$21,1,CU$5)</f>
        <v/>
      </c>
      <c r="CV22" s="25">
        <f>INDEX(Trees!$D$13:$M$13,1,CV$4)*INDEX(Curves!$D$15:$O$15,1,CV$5)+INDEX(Trees!$D$25:$M$25,1,CV$4)*INDEX(Curves!$D$16:$O$16,1,CV$5)+INDEX(Trees!$D$37:$M$37,1,CV$4)*INDEX(Curves!$D$17:$O$17,1,CV$5)+INDEX(Trees!$D$49:$M$49,1,CV$4)*INDEX(Curves!$D$18:$O$18,1,CV$5)+INDEX(Trees!$D$61:$M$61,1,CV$4)*INDEX(Curves!$D$19:$O$19,1,CV$5)+INDEX(Trees!$D$73:$M$73,1,CV$4)*INDEX(Curves!$D$20:$O$20,1,CV$5)+INDEX(Trees!$D$85:$M$85,1,CV$4)*INDEX(Curves!$D$21:$O$21,1,CV$5)</f>
        <v/>
      </c>
      <c r="CW22" s="25">
        <f>INDEX(Trees!$D$13:$M$13,1,CW$4)*INDEX(Curves!$D$15:$O$15,1,CW$5)+INDEX(Trees!$D$25:$M$25,1,CW$4)*INDEX(Curves!$D$16:$O$16,1,CW$5)+INDEX(Trees!$D$37:$M$37,1,CW$4)*INDEX(Curves!$D$17:$O$17,1,CW$5)+INDEX(Trees!$D$49:$M$49,1,CW$4)*INDEX(Curves!$D$18:$O$18,1,CW$5)+INDEX(Trees!$D$61:$M$61,1,CW$4)*INDEX(Curves!$D$19:$O$19,1,CW$5)+INDEX(Trees!$D$73:$M$73,1,CW$4)*INDEX(Curves!$D$20:$O$20,1,CW$5)+INDEX(Trees!$D$85:$M$85,1,CW$4)*INDEX(Curves!$D$21:$O$21,1,CW$5)</f>
        <v/>
      </c>
      <c r="CX22" s="25">
        <f>INDEX(Trees!$D$13:$M$13,1,CX$4)*INDEX(Curves!$D$15:$O$15,1,CX$5)+INDEX(Trees!$D$25:$M$25,1,CX$4)*INDEX(Curves!$D$16:$O$16,1,CX$5)+INDEX(Trees!$D$37:$M$37,1,CX$4)*INDEX(Curves!$D$17:$O$17,1,CX$5)+INDEX(Trees!$D$49:$M$49,1,CX$4)*INDEX(Curves!$D$18:$O$18,1,CX$5)+INDEX(Trees!$D$61:$M$61,1,CX$4)*INDEX(Curves!$D$19:$O$19,1,CX$5)+INDEX(Trees!$D$73:$M$73,1,CX$4)*INDEX(Curves!$D$20:$O$20,1,CX$5)+INDEX(Trees!$D$85:$M$85,1,CX$4)*INDEX(Curves!$D$21:$O$21,1,CX$5)</f>
        <v/>
      </c>
      <c r="CY22" s="25">
        <f>INDEX(Trees!$D$13:$M$13,1,CY$4)*INDEX(Curves!$D$15:$O$15,1,CY$5)+INDEX(Trees!$D$25:$M$25,1,CY$4)*INDEX(Curves!$D$16:$O$16,1,CY$5)+INDEX(Trees!$D$37:$M$37,1,CY$4)*INDEX(Curves!$D$17:$O$17,1,CY$5)+INDEX(Trees!$D$49:$M$49,1,CY$4)*INDEX(Curves!$D$18:$O$18,1,CY$5)+INDEX(Trees!$D$61:$M$61,1,CY$4)*INDEX(Curves!$D$19:$O$19,1,CY$5)+INDEX(Trees!$D$73:$M$73,1,CY$4)*INDEX(Curves!$D$20:$O$20,1,CY$5)+INDEX(Trees!$D$85:$M$85,1,CY$4)*INDEX(Curves!$D$21:$O$21,1,CY$5)</f>
        <v/>
      </c>
      <c r="CZ22" s="25">
        <f>INDEX(Trees!$D$13:$M$13,1,CZ$4)*INDEX(Curves!$D$15:$O$15,1,CZ$5)+INDEX(Trees!$D$25:$M$25,1,CZ$4)*INDEX(Curves!$D$16:$O$16,1,CZ$5)+INDEX(Trees!$D$37:$M$37,1,CZ$4)*INDEX(Curves!$D$17:$O$17,1,CZ$5)+INDEX(Trees!$D$49:$M$49,1,CZ$4)*INDEX(Curves!$D$18:$O$18,1,CZ$5)+INDEX(Trees!$D$61:$M$61,1,CZ$4)*INDEX(Curves!$D$19:$O$19,1,CZ$5)+INDEX(Trees!$D$73:$M$73,1,CZ$4)*INDEX(Curves!$D$20:$O$20,1,CZ$5)+INDEX(Trees!$D$85:$M$85,1,CZ$4)*INDEX(Curves!$D$21:$O$21,1,CZ$5)</f>
        <v/>
      </c>
      <c r="DA22" s="25">
        <f>INDEX(Trees!$D$13:$M$13,1,DA$4)*INDEX(Curves!$D$15:$O$15,1,DA$5)+INDEX(Trees!$D$25:$M$25,1,DA$4)*INDEX(Curves!$D$16:$O$16,1,DA$5)+INDEX(Trees!$D$37:$M$37,1,DA$4)*INDEX(Curves!$D$17:$O$17,1,DA$5)+INDEX(Trees!$D$49:$M$49,1,DA$4)*INDEX(Curves!$D$18:$O$18,1,DA$5)+INDEX(Trees!$D$61:$M$61,1,DA$4)*INDEX(Curves!$D$19:$O$19,1,DA$5)+INDEX(Trees!$D$73:$M$73,1,DA$4)*INDEX(Curves!$D$20:$O$20,1,DA$5)+INDEX(Trees!$D$85:$M$85,1,DA$4)*INDEX(Curves!$D$21:$O$21,1,DA$5)</f>
        <v/>
      </c>
      <c r="DB22" s="25">
        <f>INDEX(Trees!$D$13:$M$13,1,DB$4)*INDEX(Curves!$D$15:$O$15,1,DB$5)+INDEX(Trees!$D$25:$M$25,1,DB$4)*INDEX(Curves!$D$16:$O$16,1,DB$5)+INDEX(Trees!$D$37:$M$37,1,DB$4)*INDEX(Curves!$D$17:$O$17,1,DB$5)+INDEX(Trees!$D$49:$M$49,1,DB$4)*INDEX(Curves!$D$18:$O$18,1,DB$5)+INDEX(Trees!$D$61:$M$61,1,DB$4)*INDEX(Curves!$D$19:$O$19,1,DB$5)+INDEX(Trees!$D$73:$M$73,1,DB$4)*INDEX(Curves!$D$20:$O$20,1,DB$5)+INDEX(Trees!$D$85:$M$85,1,DB$4)*INDEX(Curves!$D$21:$O$21,1,DB$5)</f>
        <v/>
      </c>
      <c r="DC22" s="25">
        <f>INDEX(Trees!$D$13:$M$13,1,DC$4)*INDEX(Curves!$D$15:$O$15,1,DC$5)+INDEX(Trees!$D$25:$M$25,1,DC$4)*INDEX(Curves!$D$16:$O$16,1,DC$5)+INDEX(Trees!$D$37:$M$37,1,DC$4)*INDEX(Curves!$D$17:$O$17,1,DC$5)+INDEX(Trees!$D$49:$M$49,1,DC$4)*INDEX(Curves!$D$18:$O$18,1,DC$5)+INDEX(Trees!$D$61:$M$61,1,DC$4)*INDEX(Curves!$D$19:$O$19,1,DC$5)+INDEX(Trees!$D$73:$M$73,1,DC$4)*INDEX(Curves!$D$20:$O$20,1,DC$5)+INDEX(Trees!$D$85:$M$85,1,DC$4)*INDEX(Curves!$D$21:$O$21,1,DC$5)</f>
        <v/>
      </c>
      <c r="DD22" s="25">
        <f>INDEX(Trees!$D$13:$M$13,1,DD$4)*INDEX(Curves!$D$15:$O$15,1,DD$5)+INDEX(Trees!$D$25:$M$25,1,DD$4)*INDEX(Curves!$D$16:$O$16,1,DD$5)+INDEX(Trees!$D$37:$M$37,1,DD$4)*INDEX(Curves!$D$17:$O$17,1,DD$5)+INDEX(Trees!$D$49:$M$49,1,DD$4)*INDEX(Curves!$D$18:$O$18,1,DD$5)+INDEX(Trees!$D$61:$M$61,1,DD$4)*INDEX(Curves!$D$19:$O$19,1,DD$5)+INDEX(Trees!$D$73:$M$73,1,DD$4)*INDEX(Curves!$D$20:$O$20,1,DD$5)+INDEX(Trees!$D$85:$M$85,1,DD$4)*INDEX(Curves!$D$21:$O$21,1,DD$5)</f>
        <v/>
      </c>
      <c r="DE22" s="25">
        <f>INDEX(Trees!$D$13:$M$13,1,DE$4)*INDEX(Curves!$D$15:$O$15,1,DE$5)+INDEX(Trees!$D$25:$M$25,1,DE$4)*INDEX(Curves!$D$16:$O$16,1,DE$5)+INDEX(Trees!$D$37:$M$37,1,DE$4)*INDEX(Curves!$D$17:$O$17,1,DE$5)+INDEX(Trees!$D$49:$M$49,1,DE$4)*INDEX(Curves!$D$18:$O$18,1,DE$5)+INDEX(Trees!$D$61:$M$61,1,DE$4)*INDEX(Curves!$D$19:$O$19,1,DE$5)+INDEX(Trees!$D$73:$M$73,1,DE$4)*INDEX(Curves!$D$20:$O$20,1,DE$5)+INDEX(Trees!$D$85:$M$85,1,DE$4)*INDEX(Curves!$D$21:$O$21,1,DE$5)</f>
        <v/>
      </c>
      <c r="DF22" s="25">
        <f>INDEX(Trees!$D$13:$M$13,1,DF$4)*INDEX(Curves!$D$15:$O$15,1,DF$5)+INDEX(Trees!$D$25:$M$25,1,DF$4)*INDEX(Curves!$D$16:$O$16,1,DF$5)+INDEX(Trees!$D$37:$M$37,1,DF$4)*INDEX(Curves!$D$17:$O$17,1,DF$5)+INDEX(Trees!$D$49:$M$49,1,DF$4)*INDEX(Curves!$D$18:$O$18,1,DF$5)+INDEX(Trees!$D$61:$M$61,1,DF$4)*INDEX(Curves!$D$19:$O$19,1,DF$5)+INDEX(Trees!$D$73:$M$73,1,DF$4)*INDEX(Curves!$D$20:$O$20,1,DF$5)+INDEX(Trees!$D$85:$M$85,1,DF$4)*INDEX(Curves!$D$21:$O$21,1,DF$5)</f>
        <v/>
      </c>
      <c r="DG22" s="25">
        <f>INDEX(Trees!$D$13:$M$13,1,DG$4)*INDEX(Curves!$D$15:$O$15,1,DG$5)+INDEX(Trees!$D$25:$M$25,1,DG$4)*INDEX(Curves!$D$16:$O$16,1,DG$5)+INDEX(Trees!$D$37:$M$37,1,DG$4)*INDEX(Curves!$D$17:$O$17,1,DG$5)+INDEX(Trees!$D$49:$M$49,1,DG$4)*INDEX(Curves!$D$18:$O$18,1,DG$5)+INDEX(Trees!$D$61:$M$61,1,DG$4)*INDEX(Curves!$D$19:$O$19,1,DG$5)+INDEX(Trees!$D$73:$M$73,1,DG$4)*INDEX(Curves!$D$20:$O$20,1,DG$5)+INDEX(Trees!$D$85:$M$85,1,DG$4)*INDEX(Curves!$D$21:$O$21,1,DG$5)</f>
        <v/>
      </c>
      <c r="DH22" s="25">
        <f>INDEX(Trees!$D$13:$M$13,1,DH$4)*INDEX(Curves!$D$15:$O$15,1,DH$5)+INDEX(Trees!$D$25:$M$25,1,DH$4)*INDEX(Curves!$D$16:$O$16,1,DH$5)+INDEX(Trees!$D$37:$M$37,1,DH$4)*INDEX(Curves!$D$17:$O$17,1,DH$5)+INDEX(Trees!$D$49:$M$49,1,DH$4)*INDEX(Curves!$D$18:$O$18,1,DH$5)+INDEX(Trees!$D$61:$M$61,1,DH$4)*INDEX(Curves!$D$19:$O$19,1,DH$5)+INDEX(Trees!$D$73:$M$73,1,DH$4)*INDEX(Curves!$D$20:$O$20,1,DH$5)+INDEX(Trees!$D$85:$M$85,1,DH$4)*INDEX(Curves!$D$21:$O$21,1,DH$5)</f>
        <v/>
      </c>
      <c r="DI22" s="25">
        <f>INDEX(Trees!$D$13:$M$13,1,DI$4)*INDEX(Curves!$D$15:$O$15,1,DI$5)+INDEX(Trees!$D$25:$M$25,1,DI$4)*INDEX(Curves!$D$16:$O$16,1,DI$5)+INDEX(Trees!$D$37:$M$37,1,DI$4)*INDEX(Curves!$D$17:$O$17,1,DI$5)+INDEX(Trees!$D$49:$M$49,1,DI$4)*INDEX(Curves!$D$18:$O$18,1,DI$5)+INDEX(Trees!$D$61:$M$61,1,DI$4)*INDEX(Curves!$D$19:$O$19,1,DI$5)+INDEX(Trees!$D$73:$M$73,1,DI$4)*INDEX(Curves!$D$20:$O$20,1,DI$5)+INDEX(Trees!$D$85:$M$85,1,DI$4)*INDEX(Curves!$D$21:$O$21,1,DI$5)</f>
        <v/>
      </c>
      <c r="DJ22" s="25">
        <f>INDEX(Trees!$D$13:$M$13,1,DJ$4)*INDEX(Curves!$D$15:$O$15,1,DJ$5)+INDEX(Trees!$D$25:$M$25,1,DJ$4)*INDEX(Curves!$D$16:$O$16,1,DJ$5)+INDEX(Trees!$D$37:$M$37,1,DJ$4)*INDEX(Curves!$D$17:$O$17,1,DJ$5)+INDEX(Trees!$D$49:$M$49,1,DJ$4)*INDEX(Curves!$D$18:$O$18,1,DJ$5)+INDEX(Trees!$D$61:$M$61,1,DJ$4)*INDEX(Curves!$D$19:$O$19,1,DJ$5)+INDEX(Trees!$D$73:$M$73,1,DJ$4)*INDEX(Curves!$D$20:$O$20,1,DJ$5)+INDEX(Trees!$D$85:$M$85,1,DJ$4)*INDEX(Curves!$D$21:$O$21,1,DJ$5)</f>
        <v/>
      </c>
      <c r="DK22" s="25">
        <f>INDEX(Trees!$D$13:$M$13,1,DK$4)*INDEX(Curves!$D$15:$O$15,1,DK$5)+INDEX(Trees!$D$25:$M$25,1,DK$4)*INDEX(Curves!$D$16:$O$16,1,DK$5)+INDEX(Trees!$D$37:$M$37,1,DK$4)*INDEX(Curves!$D$17:$O$17,1,DK$5)+INDEX(Trees!$D$49:$M$49,1,DK$4)*INDEX(Curves!$D$18:$O$18,1,DK$5)+INDEX(Trees!$D$61:$M$61,1,DK$4)*INDEX(Curves!$D$19:$O$19,1,DK$5)+INDEX(Trees!$D$73:$M$73,1,DK$4)*INDEX(Curves!$D$20:$O$20,1,DK$5)+INDEX(Trees!$D$85:$M$85,1,DK$4)*INDEX(Curves!$D$21:$O$21,1,DK$5)</f>
        <v/>
      </c>
      <c r="DL22" s="25">
        <f>INDEX(Trees!$D$13:$M$13,1,DL$4)*INDEX(Curves!$D$15:$O$15,1,DL$5)+INDEX(Trees!$D$25:$M$25,1,DL$4)*INDEX(Curves!$D$16:$O$16,1,DL$5)+INDEX(Trees!$D$37:$M$37,1,DL$4)*INDEX(Curves!$D$17:$O$17,1,DL$5)+INDEX(Trees!$D$49:$M$49,1,DL$4)*INDEX(Curves!$D$18:$O$18,1,DL$5)+INDEX(Trees!$D$61:$M$61,1,DL$4)*INDEX(Curves!$D$19:$O$19,1,DL$5)+INDEX(Trees!$D$73:$M$73,1,DL$4)*INDEX(Curves!$D$20:$O$20,1,DL$5)+INDEX(Trees!$D$85:$M$85,1,DL$4)*INDEX(Curves!$D$21:$O$21,1,DL$5)</f>
        <v/>
      </c>
      <c r="DM22" s="25">
        <f>INDEX(Trees!$D$13:$M$13,1,DM$4)*INDEX(Curves!$D$15:$O$15,1,DM$5)+INDEX(Trees!$D$25:$M$25,1,DM$4)*INDEX(Curves!$D$16:$O$16,1,DM$5)+INDEX(Trees!$D$37:$M$37,1,DM$4)*INDEX(Curves!$D$17:$O$17,1,DM$5)+INDEX(Trees!$D$49:$M$49,1,DM$4)*INDEX(Curves!$D$18:$O$18,1,DM$5)+INDEX(Trees!$D$61:$M$61,1,DM$4)*INDEX(Curves!$D$19:$O$19,1,DM$5)+INDEX(Trees!$D$73:$M$73,1,DM$4)*INDEX(Curves!$D$20:$O$20,1,DM$5)+INDEX(Trees!$D$85:$M$85,1,DM$4)*INDEX(Curves!$D$21:$O$21,1,DM$5)</f>
        <v/>
      </c>
      <c r="DN22" s="25">
        <f>INDEX(Trees!$D$13:$M$13,1,DN$4)*INDEX(Curves!$D$15:$O$15,1,DN$5)+INDEX(Trees!$D$25:$M$25,1,DN$4)*INDEX(Curves!$D$16:$O$16,1,DN$5)+INDEX(Trees!$D$37:$M$37,1,DN$4)*INDEX(Curves!$D$17:$O$17,1,DN$5)+INDEX(Trees!$D$49:$M$49,1,DN$4)*INDEX(Curves!$D$18:$O$18,1,DN$5)+INDEX(Trees!$D$61:$M$61,1,DN$4)*INDEX(Curves!$D$19:$O$19,1,DN$5)+INDEX(Trees!$D$73:$M$73,1,DN$4)*INDEX(Curves!$D$20:$O$20,1,DN$5)+INDEX(Trees!$D$85:$M$85,1,DN$4)*INDEX(Curves!$D$21:$O$21,1,DN$5)</f>
        <v/>
      </c>
      <c r="DO22" s="25">
        <f>INDEX(Trees!$D$13:$M$13,1,DO$4)*INDEX(Curves!$D$15:$O$15,1,DO$5)+INDEX(Trees!$D$25:$M$25,1,DO$4)*INDEX(Curves!$D$16:$O$16,1,DO$5)+INDEX(Trees!$D$37:$M$37,1,DO$4)*INDEX(Curves!$D$17:$O$17,1,DO$5)+INDEX(Trees!$D$49:$M$49,1,DO$4)*INDEX(Curves!$D$18:$O$18,1,DO$5)+INDEX(Trees!$D$61:$M$61,1,DO$4)*INDEX(Curves!$D$19:$O$19,1,DO$5)+INDEX(Trees!$D$73:$M$73,1,DO$4)*INDEX(Curves!$D$20:$O$20,1,DO$5)+INDEX(Trees!$D$85:$M$85,1,DO$4)*INDEX(Curves!$D$21:$O$21,1,DO$5)</f>
        <v/>
      </c>
      <c r="DP22" s="25">
        <f>INDEX(Trees!$D$13:$M$13,1,DP$4)*INDEX(Curves!$D$15:$O$15,1,DP$5)+INDEX(Trees!$D$25:$M$25,1,DP$4)*INDEX(Curves!$D$16:$O$16,1,DP$5)+INDEX(Trees!$D$37:$M$37,1,DP$4)*INDEX(Curves!$D$17:$O$17,1,DP$5)+INDEX(Trees!$D$49:$M$49,1,DP$4)*INDEX(Curves!$D$18:$O$18,1,DP$5)+INDEX(Trees!$D$61:$M$61,1,DP$4)*INDEX(Curves!$D$19:$O$19,1,DP$5)+INDEX(Trees!$D$73:$M$73,1,DP$4)*INDEX(Curves!$D$20:$O$20,1,DP$5)+INDEX(Trees!$D$85:$M$85,1,DP$4)*INDEX(Curves!$D$21:$O$21,1,DP$5)</f>
        <v/>
      </c>
      <c r="DQ22" s="25">
        <f>INDEX(Trees!$D$13:$M$13,1,DQ$4)*INDEX(Curves!$D$15:$O$15,1,DQ$5)+INDEX(Trees!$D$25:$M$25,1,DQ$4)*INDEX(Curves!$D$16:$O$16,1,DQ$5)+INDEX(Trees!$D$37:$M$37,1,DQ$4)*INDEX(Curves!$D$17:$O$17,1,DQ$5)+INDEX(Trees!$D$49:$M$49,1,DQ$4)*INDEX(Curves!$D$18:$O$18,1,DQ$5)+INDEX(Trees!$D$61:$M$61,1,DQ$4)*INDEX(Curves!$D$19:$O$19,1,DQ$5)+INDEX(Trees!$D$73:$M$73,1,DQ$4)*INDEX(Curves!$D$20:$O$20,1,DQ$5)+INDEX(Trees!$D$85:$M$85,1,DQ$4)*INDEX(Curves!$D$21:$O$21,1,DQ$5)</f>
        <v/>
      </c>
      <c r="DR22" s="25">
        <f>INDEX(Trees!$D$13:$M$13,1,DR$4)*INDEX(Curves!$D$15:$O$15,1,DR$5)+INDEX(Trees!$D$25:$M$25,1,DR$4)*INDEX(Curves!$D$16:$O$16,1,DR$5)+INDEX(Trees!$D$37:$M$37,1,DR$4)*INDEX(Curves!$D$17:$O$17,1,DR$5)+INDEX(Trees!$D$49:$M$49,1,DR$4)*INDEX(Curves!$D$18:$O$18,1,DR$5)+INDEX(Trees!$D$61:$M$61,1,DR$4)*INDEX(Curves!$D$19:$O$19,1,DR$5)+INDEX(Trees!$D$73:$M$73,1,DR$4)*INDEX(Curves!$D$20:$O$20,1,DR$5)+INDEX(Trees!$D$85:$M$85,1,DR$4)*INDEX(Curves!$D$21:$O$21,1,DR$5)</f>
        <v/>
      </c>
      <c r="DS22" s="25">
        <f>INDEX(Trees!$D$13:$M$13,1,DS$4)*INDEX(Curves!$D$15:$O$15,1,DS$5)+INDEX(Trees!$D$25:$M$25,1,DS$4)*INDEX(Curves!$D$16:$O$16,1,DS$5)+INDEX(Trees!$D$37:$M$37,1,DS$4)*INDEX(Curves!$D$17:$O$17,1,DS$5)+INDEX(Trees!$D$49:$M$49,1,DS$4)*INDEX(Curves!$D$18:$O$18,1,DS$5)+INDEX(Trees!$D$61:$M$61,1,DS$4)*INDEX(Curves!$D$19:$O$19,1,DS$5)+INDEX(Trees!$D$73:$M$73,1,DS$4)*INDEX(Curves!$D$20:$O$20,1,DS$5)+INDEX(Trees!$D$85:$M$85,1,DS$4)*INDEX(Curves!$D$21:$O$21,1,DS$5)</f>
        <v/>
      </c>
    </row>
    <row r="24">
      <c r="A24" s="11" t="n"/>
      <c r="B24" s="12" t="inlineStr">
        <is>
          <t>Cash in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  <c r="AR24" s="11" t="n"/>
      <c r="AS24" s="11" t="n"/>
      <c r="AT24" s="11" t="n"/>
      <c r="AU24" s="11" t="n"/>
      <c r="AV24" s="11" t="n"/>
      <c r="AW24" s="11" t="n"/>
      <c r="AX24" s="11" t="n"/>
      <c r="AY24" s="11" t="n"/>
      <c r="AZ24" s="11" t="n"/>
      <c r="BA24" s="11" t="n"/>
      <c r="BB24" s="11" t="n"/>
      <c r="BC24" s="11" t="n"/>
      <c r="BD24" s="11" t="n"/>
      <c r="BE24" s="11" t="n"/>
      <c r="BF24" s="11" t="n"/>
      <c r="BG24" s="11" t="n"/>
      <c r="BH24" s="11" t="n"/>
      <c r="BI24" s="11" t="n"/>
      <c r="BJ24" s="11" t="n"/>
      <c r="BK24" s="11" t="n"/>
      <c r="BL24" s="11" t="n"/>
      <c r="BM24" s="11" t="n"/>
      <c r="BN24" s="11" t="n"/>
      <c r="BO24" s="11" t="n"/>
      <c r="BP24" s="11" t="n"/>
      <c r="BQ24" s="11" t="n"/>
      <c r="BR24" s="11" t="n"/>
      <c r="BS24" s="11" t="n"/>
      <c r="BT24" s="11" t="n"/>
      <c r="BU24" s="11" t="n"/>
      <c r="BV24" s="11" t="n"/>
      <c r="BW24" s="11" t="n"/>
      <c r="BX24" s="11" t="n"/>
      <c r="BY24" s="11" t="n"/>
      <c r="BZ24" s="11" t="n"/>
      <c r="CA24" s="11" t="n"/>
      <c r="CB24" s="11" t="n"/>
      <c r="CC24" s="11" t="n"/>
      <c r="CD24" s="11" t="n"/>
      <c r="CE24" s="11" t="n"/>
      <c r="CF24" s="11" t="n"/>
      <c r="CG24" s="11" t="n"/>
      <c r="CH24" s="11" t="n"/>
      <c r="CI24" s="11" t="n"/>
      <c r="CJ24" s="11" t="n"/>
      <c r="CK24" s="11" t="n"/>
      <c r="CL24" s="11" t="n"/>
      <c r="CM24" s="11" t="n"/>
      <c r="CN24" s="11" t="n"/>
      <c r="CO24" s="11" t="n"/>
      <c r="CP24" s="11" t="n"/>
      <c r="CQ24" s="11" t="n"/>
      <c r="CR24" s="11" t="n"/>
      <c r="CS24" s="11" t="n"/>
      <c r="CT24" s="11" t="n"/>
      <c r="CU24" s="11" t="n"/>
      <c r="CV24" s="11" t="n"/>
      <c r="CW24" s="11" t="n"/>
      <c r="CX24" s="11" t="n"/>
      <c r="CY24" s="11" t="n"/>
      <c r="CZ24" s="11" t="n"/>
      <c r="DA24" s="11" t="n"/>
      <c r="DB24" s="11" t="n"/>
      <c r="DC24" s="11" t="n"/>
      <c r="DD24" s="11" t="n"/>
      <c r="DE24" s="11" t="n"/>
      <c r="DF24" s="11" t="n"/>
      <c r="DG24" s="11" t="n"/>
      <c r="DH24" s="11" t="n"/>
      <c r="DI24" s="11" t="n"/>
      <c r="DJ24" s="11" t="n"/>
      <c r="DK24" s="11" t="n"/>
      <c r="DL24" s="11" t="n"/>
      <c r="DM24" s="11" t="n"/>
      <c r="DN24" s="11" t="n"/>
      <c r="DO24" s="11" t="n"/>
      <c r="DP24" s="11" t="n"/>
      <c r="DQ24" s="11" t="n"/>
      <c r="DR24" s="11" t="n"/>
      <c r="DS24" s="11" t="n"/>
    </row>
    <row r="25">
      <c r="A25" s="2" t="inlineStr">
        <is>
          <t>CF_COLLECT</t>
        </is>
      </c>
      <c r="B25" s="3" t="inlineStr">
        <is>
          <t>Collections from customers</t>
        </is>
      </c>
      <c r="C25" s="2" t="inlineStr">
        <is>
          <t>RWF</t>
        </is>
      </c>
      <c r="D25" s="31">
        <f>D21*(1-Assumptions!$H$9)</f>
        <v/>
      </c>
      <c r="E25" s="31">
        <f>E21*(1-Assumptions!$H$9)+D21*Assumptions!$H$9</f>
        <v/>
      </c>
      <c r="F25" s="31">
        <f>F21*(1-Assumptions!$H$9)+E21*Assumptions!$H$9</f>
        <v/>
      </c>
      <c r="G25" s="31">
        <f>G21*(1-Assumptions!$H$9)+F21*Assumptions!$H$9</f>
        <v/>
      </c>
      <c r="H25" s="31">
        <f>H21*(1-Assumptions!$H$9)+G21*Assumptions!$H$9</f>
        <v/>
      </c>
      <c r="I25" s="31">
        <f>I21*(1-Assumptions!$H$9)+H21*Assumptions!$H$9</f>
        <v/>
      </c>
      <c r="J25" s="31">
        <f>J21*(1-Assumptions!$H$9)+I21*Assumptions!$H$9</f>
        <v/>
      </c>
      <c r="K25" s="31">
        <f>K21*(1-Assumptions!$H$9)+J21*Assumptions!$H$9</f>
        <v/>
      </c>
      <c r="L25" s="31">
        <f>L21*(1-Assumptions!$H$9)+K21*Assumptions!$H$9</f>
        <v/>
      </c>
      <c r="M25" s="31">
        <f>M21*(1-Assumptions!$H$9)+L21*Assumptions!$H$9</f>
        <v/>
      </c>
      <c r="N25" s="31">
        <f>N21*(1-Assumptions!$H$9)+M21*Assumptions!$H$9</f>
        <v/>
      </c>
      <c r="O25" s="31">
        <f>O21*(1-Assumptions!$H$9)+N21*Assumptions!$H$9</f>
        <v/>
      </c>
      <c r="P25" s="31">
        <f>P21*(1-Assumptions!$H$9)+O21*Assumptions!$H$9</f>
        <v/>
      </c>
      <c r="Q25" s="31">
        <f>Q21*(1-Assumptions!$H$9)+P21*Assumptions!$H$9</f>
        <v/>
      </c>
      <c r="R25" s="31">
        <f>R21*(1-Assumptions!$H$9)+Q21*Assumptions!$H$9</f>
        <v/>
      </c>
      <c r="S25" s="31">
        <f>S21*(1-Assumptions!$H$9)+R21*Assumptions!$H$9</f>
        <v/>
      </c>
      <c r="T25" s="31">
        <f>T21*(1-Assumptions!$H$9)+S21*Assumptions!$H$9</f>
        <v/>
      </c>
      <c r="U25" s="31">
        <f>U21*(1-Assumptions!$H$9)+T21*Assumptions!$H$9</f>
        <v/>
      </c>
      <c r="V25" s="31">
        <f>V21*(1-Assumptions!$H$9)+U21*Assumptions!$H$9</f>
        <v/>
      </c>
      <c r="W25" s="31">
        <f>W21*(1-Assumptions!$H$9)+V21*Assumptions!$H$9</f>
        <v/>
      </c>
      <c r="X25" s="31">
        <f>X21*(1-Assumptions!$H$9)+W21*Assumptions!$H$9</f>
        <v/>
      </c>
      <c r="Y25" s="31">
        <f>Y21*(1-Assumptions!$H$9)+X21*Assumptions!$H$9</f>
        <v/>
      </c>
      <c r="Z25" s="31">
        <f>Z21*(1-Assumptions!$H$9)+Y21*Assumptions!$H$9</f>
        <v/>
      </c>
      <c r="AA25" s="31">
        <f>AA21*(1-Assumptions!$H$9)+Z21*Assumptions!$H$9</f>
        <v/>
      </c>
      <c r="AB25" s="31">
        <f>AB21*(1-Assumptions!$H$9)+AA21*Assumptions!$H$9</f>
        <v/>
      </c>
      <c r="AC25" s="31">
        <f>AC21*(1-Assumptions!$H$9)+AB21*Assumptions!$H$9</f>
        <v/>
      </c>
      <c r="AD25" s="31">
        <f>AD21*(1-Assumptions!$H$9)+AC21*Assumptions!$H$9</f>
        <v/>
      </c>
      <c r="AE25" s="31">
        <f>AE21*(1-Assumptions!$H$9)+AD21*Assumptions!$H$9</f>
        <v/>
      </c>
      <c r="AF25" s="31">
        <f>AF21*(1-Assumptions!$H$9)+AE21*Assumptions!$H$9</f>
        <v/>
      </c>
      <c r="AG25" s="31">
        <f>AG21*(1-Assumptions!$H$9)+AF21*Assumptions!$H$9</f>
        <v/>
      </c>
      <c r="AH25" s="31">
        <f>AH21*(1-Assumptions!$H$9)+AG21*Assumptions!$H$9</f>
        <v/>
      </c>
      <c r="AI25" s="31">
        <f>AI21*(1-Assumptions!$H$9)+AH21*Assumptions!$H$9</f>
        <v/>
      </c>
      <c r="AJ25" s="31">
        <f>AJ21*(1-Assumptions!$H$9)+AI21*Assumptions!$H$9</f>
        <v/>
      </c>
      <c r="AK25" s="31">
        <f>AK21*(1-Assumptions!$H$9)+AJ21*Assumptions!$H$9</f>
        <v/>
      </c>
      <c r="AL25" s="31">
        <f>AL21*(1-Assumptions!$H$9)+AK21*Assumptions!$H$9</f>
        <v/>
      </c>
      <c r="AM25" s="31">
        <f>AM21*(1-Assumptions!$H$9)+AL21*Assumptions!$H$9</f>
        <v/>
      </c>
      <c r="AN25" s="31">
        <f>AN21*(1-Assumptions!$H$9)+AM21*Assumptions!$H$9</f>
        <v/>
      </c>
      <c r="AO25" s="31">
        <f>AO21*(1-Assumptions!$H$9)+AN21*Assumptions!$H$9</f>
        <v/>
      </c>
      <c r="AP25" s="31">
        <f>AP21*(1-Assumptions!$H$9)+AO21*Assumptions!$H$9</f>
        <v/>
      </c>
      <c r="AQ25" s="31">
        <f>AQ21*(1-Assumptions!$H$9)+AP21*Assumptions!$H$9</f>
        <v/>
      </c>
      <c r="AR25" s="31">
        <f>AR21*(1-Assumptions!$H$9)+AQ21*Assumptions!$H$9</f>
        <v/>
      </c>
      <c r="AS25" s="31">
        <f>AS21*(1-Assumptions!$H$9)+AR21*Assumptions!$H$9</f>
        <v/>
      </c>
      <c r="AT25" s="31">
        <f>AT21*(1-Assumptions!$H$9)+AS21*Assumptions!$H$9</f>
        <v/>
      </c>
      <c r="AU25" s="31">
        <f>AU21*(1-Assumptions!$H$9)+AT21*Assumptions!$H$9</f>
        <v/>
      </c>
      <c r="AV25" s="31">
        <f>AV21*(1-Assumptions!$H$9)+AU21*Assumptions!$H$9</f>
        <v/>
      </c>
      <c r="AW25" s="31">
        <f>AW21*(1-Assumptions!$H$9)+AV21*Assumptions!$H$9</f>
        <v/>
      </c>
      <c r="AX25" s="31">
        <f>AX21*(1-Assumptions!$H$9)+AW21*Assumptions!$H$9</f>
        <v/>
      </c>
      <c r="AY25" s="31">
        <f>AY21*(1-Assumptions!$H$9)+AX21*Assumptions!$H$9</f>
        <v/>
      </c>
      <c r="AZ25" s="31">
        <f>AZ21*(1-Assumptions!$H$9)+AY21*Assumptions!$H$9</f>
        <v/>
      </c>
      <c r="BA25" s="31">
        <f>BA21*(1-Assumptions!$H$9)+AZ21*Assumptions!$H$9</f>
        <v/>
      </c>
      <c r="BB25" s="31">
        <f>BB21*(1-Assumptions!$H$9)+BA21*Assumptions!$H$9</f>
        <v/>
      </c>
      <c r="BC25" s="31">
        <f>BC21*(1-Assumptions!$H$9)+BB21*Assumptions!$H$9</f>
        <v/>
      </c>
      <c r="BD25" s="31">
        <f>BD21*(1-Assumptions!$H$9)+BC21*Assumptions!$H$9</f>
        <v/>
      </c>
      <c r="BE25" s="31">
        <f>BE21*(1-Assumptions!$H$9)+BD21*Assumptions!$H$9</f>
        <v/>
      </c>
      <c r="BF25" s="31">
        <f>BF21*(1-Assumptions!$H$9)+BE21*Assumptions!$H$9</f>
        <v/>
      </c>
      <c r="BG25" s="31">
        <f>BG21*(1-Assumptions!$H$9)+BF21*Assumptions!$H$9</f>
        <v/>
      </c>
      <c r="BH25" s="31">
        <f>BH21*(1-Assumptions!$H$9)+BG21*Assumptions!$H$9</f>
        <v/>
      </c>
      <c r="BI25" s="31">
        <f>BI21*(1-Assumptions!$H$9)+BH21*Assumptions!$H$9</f>
        <v/>
      </c>
      <c r="BJ25" s="31">
        <f>BJ21*(1-Assumptions!$H$9)+BI21*Assumptions!$H$9</f>
        <v/>
      </c>
      <c r="BK25" s="31">
        <f>BK21*(1-Assumptions!$H$9)+BJ21*Assumptions!$H$9</f>
        <v/>
      </c>
      <c r="BL25" s="31">
        <f>BL21*(1-Assumptions!$H$9)+BK21*Assumptions!$H$9</f>
        <v/>
      </c>
      <c r="BM25" s="31">
        <f>BM21*(1-Assumptions!$H$9)+BL21*Assumptions!$H$9</f>
        <v/>
      </c>
      <c r="BN25" s="31">
        <f>BN21*(1-Assumptions!$H$9)+BM21*Assumptions!$H$9</f>
        <v/>
      </c>
      <c r="BO25" s="31">
        <f>BO21*(1-Assumptions!$H$9)+BN21*Assumptions!$H$9</f>
        <v/>
      </c>
      <c r="BP25" s="31">
        <f>BP21*(1-Assumptions!$H$9)+BO21*Assumptions!$H$9</f>
        <v/>
      </c>
      <c r="BQ25" s="31">
        <f>BQ21*(1-Assumptions!$H$9)+BP21*Assumptions!$H$9</f>
        <v/>
      </c>
      <c r="BR25" s="31">
        <f>BR21*(1-Assumptions!$H$9)+BQ21*Assumptions!$H$9</f>
        <v/>
      </c>
      <c r="BS25" s="31">
        <f>BS21*(1-Assumptions!$H$9)+BR21*Assumptions!$H$9</f>
        <v/>
      </c>
      <c r="BT25" s="31">
        <f>BT21*(1-Assumptions!$H$9)+BS21*Assumptions!$H$9</f>
        <v/>
      </c>
      <c r="BU25" s="31">
        <f>BU21*(1-Assumptions!$H$9)+BT21*Assumptions!$H$9</f>
        <v/>
      </c>
      <c r="BV25" s="31">
        <f>BV21*(1-Assumptions!$H$9)+BU21*Assumptions!$H$9</f>
        <v/>
      </c>
      <c r="BW25" s="31">
        <f>BW21*(1-Assumptions!$H$9)+BV21*Assumptions!$H$9</f>
        <v/>
      </c>
      <c r="BX25" s="31">
        <f>BX21*(1-Assumptions!$H$9)+BW21*Assumptions!$H$9</f>
        <v/>
      </c>
      <c r="BY25" s="31">
        <f>BY21*(1-Assumptions!$H$9)+BX21*Assumptions!$H$9</f>
        <v/>
      </c>
      <c r="BZ25" s="31">
        <f>BZ21*(1-Assumptions!$H$9)+BY21*Assumptions!$H$9</f>
        <v/>
      </c>
      <c r="CA25" s="31">
        <f>CA21*(1-Assumptions!$H$9)+BZ21*Assumptions!$H$9</f>
        <v/>
      </c>
      <c r="CB25" s="31">
        <f>CB21*(1-Assumptions!$H$9)+CA21*Assumptions!$H$9</f>
        <v/>
      </c>
      <c r="CC25" s="31">
        <f>CC21*(1-Assumptions!$H$9)+CB21*Assumptions!$H$9</f>
        <v/>
      </c>
      <c r="CD25" s="31">
        <f>CD21*(1-Assumptions!$H$9)+CC21*Assumptions!$H$9</f>
        <v/>
      </c>
      <c r="CE25" s="31">
        <f>CE21*(1-Assumptions!$H$9)+CD21*Assumptions!$H$9</f>
        <v/>
      </c>
      <c r="CF25" s="31">
        <f>CF21*(1-Assumptions!$H$9)+CE21*Assumptions!$H$9</f>
        <v/>
      </c>
      <c r="CG25" s="31">
        <f>CG21*(1-Assumptions!$H$9)+CF21*Assumptions!$H$9</f>
        <v/>
      </c>
      <c r="CH25" s="31">
        <f>CH21*(1-Assumptions!$H$9)+CG21*Assumptions!$H$9</f>
        <v/>
      </c>
      <c r="CI25" s="31">
        <f>CI21*(1-Assumptions!$H$9)+CH21*Assumptions!$H$9</f>
        <v/>
      </c>
      <c r="CJ25" s="31">
        <f>CJ21*(1-Assumptions!$H$9)+CI21*Assumptions!$H$9</f>
        <v/>
      </c>
      <c r="CK25" s="31">
        <f>CK21*(1-Assumptions!$H$9)+CJ21*Assumptions!$H$9</f>
        <v/>
      </c>
      <c r="CL25" s="31">
        <f>CL21*(1-Assumptions!$H$9)+CK21*Assumptions!$H$9</f>
        <v/>
      </c>
      <c r="CM25" s="31">
        <f>CM21*(1-Assumptions!$H$9)+CL21*Assumptions!$H$9</f>
        <v/>
      </c>
      <c r="CN25" s="31">
        <f>CN21*(1-Assumptions!$H$9)+CM21*Assumptions!$H$9</f>
        <v/>
      </c>
      <c r="CO25" s="31">
        <f>CO21*(1-Assumptions!$H$9)+CN21*Assumptions!$H$9</f>
        <v/>
      </c>
      <c r="CP25" s="31">
        <f>CP21*(1-Assumptions!$H$9)+CO21*Assumptions!$H$9</f>
        <v/>
      </c>
      <c r="CQ25" s="31">
        <f>CQ21*(1-Assumptions!$H$9)+CP21*Assumptions!$H$9</f>
        <v/>
      </c>
      <c r="CR25" s="31">
        <f>CR21*(1-Assumptions!$H$9)+CQ21*Assumptions!$H$9</f>
        <v/>
      </c>
      <c r="CS25" s="31">
        <f>CS21*(1-Assumptions!$H$9)+CR21*Assumptions!$H$9</f>
        <v/>
      </c>
      <c r="CT25" s="31">
        <f>CT21*(1-Assumptions!$H$9)+CS21*Assumptions!$H$9</f>
        <v/>
      </c>
      <c r="CU25" s="31">
        <f>CU21*(1-Assumptions!$H$9)+CT21*Assumptions!$H$9</f>
        <v/>
      </c>
      <c r="CV25" s="31">
        <f>CV21*(1-Assumptions!$H$9)+CU21*Assumptions!$H$9</f>
        <v/>
      </c>
      <c r="CW25" s="31">
        <f>CW21*(1-Assumptions!$H$9)+CV21*Assumptions!$H$9</f>
        <v/>
      </c>
      <c r="CX25" s="31">
        <f>CX21*(1-Assumptions!$H$9)+CW21*Assumptions!$H$9</f>
        <v/>
      </c>
      <c r="CY25" s="31">
        <f>CY21*(1-Assumptions!$H$9)+CX21*Assumptions!$H$9</f>
        <v/>
      </c>
      <c r="CZ25" s="31">
        <f>CZ21*(1-Assumptions!$H$9)+CY21*Assumptions!$H$9</f>
        <v/>
      </c>
      <c r="DA25" s="31">
        <f>DA21*(1-Assumptions!$H$9)+CZ21*Assumptions!$H$9</f>
        <v/>
      </c>
      <c r="DB25" s="31">
        <f>DB21*(1-Assumptions!$H$9)+DA21*Assumptions!$H$9</f>
        <v/>
      </c>
      <c r="DC25" s="31">
        <f>DC21*(1-Assumptions!$H$9)+DB21*Assumptions!$H$9</f>
        <v/>
      </c>
      <c r="DD25" s="31">
        <f>DD21*(1-Assumptions!$H$9)+DC21*Assumptions!$H$9</f>
        <v/>
      </c>
      <c r="DE25" s="31">
        <f>DE21*(1-Assumptions!$H$9)+DD21*Assumptions!$H$9</f>
        <v/>
      </c>
      <c r="DF25" s="31">
        <f>DF21*(1-Assumptions!$H$9)+DE21*Assumptions!$H$9</f>
        <v/>
      </c>
      <c r="DG25" s="31">
        <f>DG21*(1-Assumptions!$H$9)+DF21*Assumptions!$H$9</f>
        <v/>
      </c>
      <c r="DH25" s="31">
        <f>DH21*(1-Assumptions!$H$9)+DG21*Assumptions!$H$9</f>
        <v/>
      </c>
      <c r="DI25" s="31">
        <f>DI21*(1-Assumptions!$H$9)+DH21*Assumptions!$H$9</f>
        <v/>
      </c>
      <c r="DJ25" s="31">
        <f>DJ21*(1-Assumptions!$H$9)+DI21*Assumptions!$H$9</f>
        <v/>
      </c>
      <c r="DK25" s="31">
        <f>DK21*(1-Assumptions!$H$9)+DJ21*Assumptions!$H$9</f>
        <v/>
      </c>
      <c r="DL25" s="31">
        <f>DL21*(1-Assumptions!$H$9)+DK21*Assumptions!$H$9</f>
        <v/>
      </c>
      <c r="DM25" s="31">
        <f>DM21*(1-Assumptions!$H$9)+DL21*Assumptions!$H$9</f>
        <v/>
      </c>
      <c r="DN25" s="31">
        <f>DN21*(1-Assumptions!$H$9)+DM21*Assumptions!$H$9</f>
        <v/>
      </c>
      <c r="DO25" s="31">
        <f>DO21*(1-Assumptions!$H$9)+DN21*Assumptions!$H$9</f>
        <v/>
      </c>
      <c r="DP25" s="31">
        <f>DP21*(1-Assumptions!$H$9)+DO21*Assumptions!$H$9</f>
        <v/>
      </c>
      <c r="DQ25" s="31">
        <f>DQ21*(1-Assumptions!$H$9)+DP21*Assumptions!$H$9</f>
        <v/>
      </c>
      <c r="DR25" s="31">
        <f>DR21*(1-Assumptions!$H$9)+DQ21*Assumptions!$H$9</f>
        <v/>
      </c>
      <c r="DS25" s="31">
        <f>DS21*(1-Assumptions!$H$9)+DR21*Assumptions!$H$9</f>
        <v/>
      </c>
    </row>
    <row r="27">
      <c r="A27" s="11" t="n"/>
      <c r="B27" s="12" t="inlineStr">
        <is>
          <t>Operating costs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  <c r="AZ27" s="11" t="n"/>
      <c r="BA27" s="11" t="n"/>
      <c r="BB27" s="11" t="n"/>
      <c r="BC27" s="11" t="n"/>
      <c r="BD27" s="11" t="n"/>
      <c r="BE27" s="11" t="n"/>
      <c r="BF27" s="11" t="n"/>
      <c r="BG27" s="11" t="n"/>
      <c r="BH27" s="11" t="n"/>
      <c r="BI27" s="11" t="n"/>
      <c r="BJ27" s="11" t="n"/>
      <c r="BK27" s="11" t="n"/>
      <c r="BL27" s="11" t="n"/>
      <c r="BM27" s="11" t="n"/>
      <c r="BN27" s="11" t="n"/>
      <c r="BO27" s="11" t="n"/>
      <c r="BP27" s="11" t="n"/>
      <c r="BQ27" s="11" t="n"/>
      <c r="BR27" s="11" t="n"/>
      <c r="BS27" s="11" t="n"/>
      <c r="BT27" s="11" t="n"/>
      <c r="BU27" s="11" t="n"/>
      <c r="BV27" s="11" t="n"/>
      <c r="BW27" s="11" t="n"/>
      <c r="BX27" s="11" t="n"/>
      <c r="BY27" s="11" t="n"/>
      <c r="BZ27" s="11" t="n"/>
      <c r="CA27" s="11" t="n"/>
      <c r="CB27" s="11" t="n"/>
      <c r="CC27" s="11" t="n"/>
      <c r="CD27" s="11" t="n"/>
      <c r="CE27" s="11" t="n"/>
      <c r="CF27" s="11" t="n"/>
      <c r="CG27" s="11" t="n"/>
      <c r="CH27" s="11" t="n"/>
      <c r="CI27" s="11" t="n"/>
      <c r="CJ27" s="11" t="n"/>
      <c r="CK27" s="11" t="n"/>
      <c r="CL27" s="11" t="n"/>
      <c r="CM27" s="11" t="n"/>
      <c r="CN27" s="11" t="n"/>
      <c r="CO27" s="11" t="n"/>
      <c r="CP27" s="11" t="n"/>
      <c r="CQ27" s="11" t="n"/>
      <c r="CR27" s="11" t="n"/>
      <c r="CS27" s="11" t="n"/>
      <c r="CT27" s="11" t="n"/>
      <c r="CU27" s="11" t="n"/>
      <c r="CV27" s="11" t="n"/>
      <c r="CW27" s="11" t="n"/>
      <c r="CX27" s="11" t="n"/>
      <c r="CY27" s="11" t="n"/>
      <c r="CZ27" s="11" t="n"/>
      <c r="DA27" s="11" t="n"/>
      <c r="DB27" s="11" t="n"/>
      <c r="DC27" s="11" t="n"/>
      <c r="DD27" s="11" t="n"/>
      <c r="DE27" s="11" t="n"/>
      <c r="DF27" s="11" t="n"/>
      <c r="DG27" s="11" t="n"/>
      <c r="DH27" s="11" t="n"/>
      <c r="DI27" s="11" t="n"/>
      <c r="DJ27" s="11" t="n"/>
      <c r="DK27" s="11" t="n"/>
      <c r="DL27" s="11" t="n"/>
      <c r="DM27" s="11" t="n"/>
      <c r="DN27" s="11" t="n"/>
      <c r="DO27" s="11" t="n"/>
      <c r="DP27" s="11" t="n"/>
      <c r="DQ27" s="11" t="n"/>
      <c r="DR27" s="11" t="n"/>
      <c r="DS27" s="11" t="n"/>
    </row>
    <row r="28">
      <c r="A28" s="2" t="inlineStr">
        <is>
          <t>CF_PERM</t>
        </is>
      </c>
      <c r="B28" s="6" t="inlineStr">
        <is>
          <t>Permanent labour</t>
        </is>
      </c>
      <c r="C28" s="2" t="inlineStr">
        <is>
          <t>RWF</t>
        </is>
      </c>
      <c r="D28" s="25">
        <f>Models!$H$40*Assumptions!$H$14*Sensitivity!$C$10</f>
        <v/>
      </c>
      <c r="E28" s="25">
        <f>Models!$H$40*Assumptions!$H$14*Sensitivity!$C$10</f>
        <v/>
      </c>
      <c r="F28" s="25">
        <f>Models!$H$40*Assumptions!$H$14*Sensitivity!$C$10</f>
        <v/>
      </c>
      <c r="G28" s="25">
        <f>Models!$H$40*Assumptions!$H$14*Sensitivity!$C$10</f>
        <v/>
      </c>
      <c r="H28" s="25">
        <f>Models!$H$40*Assumptions!$H$14*Sensitivity!$C$10</f>
        <v/>
      </c>
      <c r="I28" s="25">
        <f>Models!$H$40*Assumptions!$H$14*Sensitivity!$C$10</f>
        <v/>
      </c>
      <c r="J28" s="25">
        <f>Models!$H$40*Assumptions!$H$14*Sensitivity!$C$10</f>
        <v/>
      </c>
      <c r="K28" s="25">
        <f>Models!$H$40*Assumptions!$H$14*Sensitivity!$C$10</f>
        <v/>
      </c>
      <c r="L28" s="25">
        <f>Models!$H$40*Assumptions!$H$14*Sensitivity!$C$10</f>
        <v/>
      </c>
      <c r="M28" s="25">
        <f>Models!$H$40*Assumptions!$H$14*Sensitivity!$C$10</f>
        <v/>
      </c>
      <c r="N28" s="25">
        <f>Models!$H$40*Assumptions!$H$14*Sensitivity!$C$10</f>
        <v/>
      </c>
      <c r="O28" s="25">
        <f>Models!$H$40*Assumptions!$H$14*Sensitivity!$C$10</f>
        <v/>
      </c>
      <c r="P28" s="25">
        <f>Models!$H$40*Assumptions!$H$14*Sensitivity!$C$10</f>
        <v/>
      </c>
      <c r="Q28" s="25">
        <f>Models!$H$40*Assumptions!$H$14*Sensitivity!$C$10</f>
        <v/>
      </c>
      <c r="R28" s="25">
        <f>Models!$H$40*Assumptions!$H$14*Sensitivity!$C$10</f>
        <v/>
      </c>
      <c r="S28" s="25">
        <f>Models!$H$40*Assumptions!$H$14*Sensitivity!$C$10</f>
        <v/>
      </c>
      <c r="T28" s="25">
        <f>Models!$H$40*Assumptions!$H$14*Sensitivity!$C$10</f>
        <v/>
      </c>
      <c r="U28" s="25">
        <f>Models!$H$40*Assumptions!$H$14*Sensitivity!$C$10</f>
        <v/>
      </c>
      <c r="V28" s="25">
        <f>Models!$H$40*Assumptions!$H$14*Sensitivity!$C$10</f>
        <v/>
      </c>
      <c r="W28" s="25">
        <f>Models!$H$40*Assumptions!$H$14*Sensitivity!$C$10</f>
        <v/>
      </c>
      <c r="X28" s="25">
        <f>Models!$H$40*Assumptions!$H$14*Sensitivity!$C$10</f>
        <v/>
      </c>
      <c r="Y28" s="25">
        <f>Models!$H$40*Assumptions!$H$14*Sensitivity!$C$10</f>
        <v/>
      </c>
      <c r="Z28" s="25">
        <f>Models!$H$40*Assumptions!$H$14*Sensitivity!$C$10</f>
        <v/>
      </c>
      <c r="AA28" s="25">
        <f>Models!$H$40*Assumptions!$H$14*Sensitivity!$C$10</f>
        <v/>
      </c>
      <c r="AB28" s="25">
        <f>Models!$H$40*Assumptions!$H$14*Sensitivity!$C$10</f>
        <v/>
      </c>
      <c r="AC28" s="25">
        <f>Models!$H$40*Assumptions!$H$14*Sensitivity!$C$10</f>
        <v/>
      </c>
      <c r="AD28" s="25">
        <f>Models!$H$40*Assumptions!$H$14*Sensitivity!$C$10</f>
        <v/>
      </c>
      <c r="AE28" s="25">
        <f>Models!$H$40*Assumptions!$H$14*Sensitivity!$C$10</f>
        <v/>
      </c>
      <c r="AF28" s="25">
        <f>Models!$H$40*Assumptions!$H$14*Sensitivity!$C$10</f>
        <v/>
      </c>
      <c r="AG28" s="25">
        <f>Models!$H$40*Assumptions!$H$14*Sensitivity!$C$10</f>
        <v/>
      </c>
      <c r="AH28" s="25">
        <f>Models!$H$40*Assumptions!$H$14*Sensitivity!$C$10</f>
        <v/>
      </c>
      <c r="AI28" s="25">
        <f>Models!$H$40*Assumptions!$H$14*Sensitivity!$C$10</f>
        <v/>
      </c>
      <c r="AJ28" s="25">
        <f>Models!$H$40*Assumptions!$H$14*Sensitivity!$C$10</f>
        <v/>
      </c>
      <c r="AK28" s="25">
        <f>Models!$H$40*Assumptions!$H$14*Sensitivity!$C$10</f>
        <v/>
      </c>
      <c r="AL28" s="25">
        <f>Models!$H$40*Assumptions!$H$14*Sensitivity!$C$10</f>
        <v/>
      </c>
      <c r="AM28" s="25">
        <f>Models!$H$40*Assumptions!$H$14*Sensitivity!$C$10</f>
        <v/>
      </c>
      <c r="AN28" s="25">
        <f>Models!$H$40*Assumptions!$H$14*Sensitivity!$C$10</f>
        <v/>
      </c>
      <c r="AO28" s="25">
        <f>Models!$H$40*Assumptions!$H$14*Sensitivity!$C$10</f>
        <v/>
      </c>
      <c r="AP28" s="25">
        <f>Models!$H$40*Assumptions!$H$14*Sensitivity!$C$10</f>
        <v/>
      </c>
      <c r="AQ28" s="25">
        <f>Models!$H$40*Assumptions!$H$14*Sensitivity!$C$10</f>
        <v/>
      </c>
      <c r="AR28" s="25">
        <f>Models!$H$40*Assumptions!$H$14*Sensitivity!$C$10</f>
        <v/>
      </c>
      <c r="AS28" s="25">
        <f>Models!$H$40*Assumptions!$H$14*Sensitivity!$C$10</f>
        <v/>
      </c>
      <c r="AT28" s="25">
        <f>Models!$H$40*Assumptions!$H$14*Sensitivity!$C$10</f>
        <v/>
      </c>
      <c r="AU28" s="25">
        <f>Models!$H$40*Assumptions!$H$14*Sensitivity!$C$10</f>
        <v/>
      </c>
      <c r="AV28" s="25">
        <f>Models!$H$40*Assumptions!$H$14*Sensitivity!$C$10</f>
        <v/>
      </c>
      <c r="AW28" s="25">
        <f>Models!$H$40*Assumptions!$H$14*Sensitivity!$C$10</f>
        <v/>
      </c>
      <c r="AX28" s="25">
        <f>Models!$H$40*Assumptions!$H$14*Sensitivity!$C$10</f>
        <v/>
      </c>
      <c r="AY28" s="25">
        <f>Models!$H$40*Assumptions!$H$14*Sensitivity!$C$10</f>
        <v/>
      </c>
      <c r="AZ28" s="25">
        <f>Models!$H$40*Assumptions!$H$14*Sensitivity!$C$10</f>
        <v/>
      </c>
      <c r="BA28" s="25">
        <f>Models!$H$40*Assumptions!$H$14*Sensitivity!$C$10</f>
        <v/>
      </c>
      <c r="BB28" s="25">
        <f>Models!$H$40*Assumptions!$H$14*Sensitivity!$C$10</f>
        <v/>
      </c>
      <c r="BC28" s="25">
        <f>Models!$H$40*Assumptions!$H$14*Sensitivity!$C$10</f>
        <v/>
      </c>
      <c r="BD28" s="25">
        <f>Models!$H$40*Assumptions!$H$14*Sensitivity!$C$10</f>
        <v/>
      </c>
      <c r="BE28" s="25">
        <f>Models!$H$40*Assumptions!$H$14*Sensitivity!$C$10</f>
        <v/>
      </c>
      <c r="BF28" s="25">
        <f>Models!$H$40*Assumptions!$H$14*Sensitivity!$C$10</f>
        <v/>
      </c>
      <c r="BG28" s="25">
        <f>Models!$H$40*Assumptions!$H$14*Sensitivity!$C$10</f>
        <v/>
      </c>
      <c r="BH28" s="25">
        <f>Models!$H$40*Assumptions!$H$14*Sensitivity!$C$10</f>
        <v/>
      </c>
      <c r="BI28" s="25">
        <f>Models!$H$40*Assumptions!$H$14*Sensitivity!$C$10</f>
        <v/>
      </c>
      <c r="BJ28" s="25">
        <f>Models!$H$40*Assumptions!$H$14*Sensitivity!$C$10</f>
        <v/>
      </c>
      <c r="BK28" s="25">
        <f>Models!$H$40*Assumptions!$H$14*Sensitivity!$C$10</f>
        <v/>
      </c>
      <c r="BL28" s="25">
        <f>Models!$H$40*Assumptions!$H$14*Sensitivity!$C$10</f>
        <v/>
      </c>
      <c r="BM28" s="25">
        <f>Models!$H$40*Assumptions!$H$14*Sensitivity!$C$10</f>
        <v/>
      </c>
      <c r="BN28" s="25">
        <f>Models!$H$40*Assumptions!$H$14*Sensitivity!$C$10</f>
        <v/>
      </c>
      <c r="BO28" s="25">
        <f>Models!$H$40*Assumptions!$H$14*Sensitivity!$C$10</f>
        <v/>
      </c>
      <c r="BP28" s="25">
        <f>Models!$H$40*Assumptions!$H$14*Sensitivity!$C$10</f>
        <v/>
      </c>
      <c r="BQ28" s="25">
        <f>Models!$H$40*Assumptions!$H$14*Sensitivity!$C$10</f>
        <v/>
      </c>
      <c r="BR28" s="25">
        <f>Models!$H$40*Assumptions!$H$14*Sensitivity!$C$10</f>
        <v/>
      </c>
      <c r="BS28" s="25">
        <f>Models!$H$40*Assumptions!$H$14*Sensitivity!$C$10</f>
        <v/>
      </c>
      <c r="BT28" s="25">
        <f>Models!$H$40*Assumptions!$H$14*Sensitivity!$C$10</f>
        <v/>
      </c>
      <c r="BU28" s="25">
        <f>Models!$H$40*Assumptions!$H$14*Sensitivity!$C$10</f>
        <v/>
      </c>
      <c r="BV28" s="25">
        <f>Models!$H$40*Assumptions!$H$14*Sensitivity!$C$10</f>
        <v/>
      </c>
      <c r="BW28" s="25">
        <f>Models!$H$40*Assumptions!$H$14*Sensitivity!$C$10</f>
        <v/>
      </c>
      <c r="BX28" s="25">
        <f>Models!$H$40*Assumptions!$H$14*Sensitivity!$C$10</f>
        <v/>
      </c>
      <c r="BY28" s="25">
        <f>Models!$H$40*Assumptions!$H$14*Sensitivity!$C$10</f>
        <v/>
      </c>
      <c r="BZ28" s="25">
        <f>Models!$H$40*Assumptions!$H$14*Sensitivity!$C$10</f>
        <v/>
      </c>
      <c r="CA28" s="25">
        <f>Models!$H$40*Assumptions!$H$14*Sensitivity!$C$10</f>
        <v/>
      </c>
      <c r="CB28" s="25">
        <f>Models!$H$40*Assumptions!$H$14*Sensitivity!$C$10</f>
        <v/>
      </c>
      <c r="CC28" s="25">
        <f>Models!$H$40*Assumptions!$H$14*Sensitivity!$C$10</f>
        <v/>
      </c>
      <c r="CD28" s="25">
        <f>Models!$H$40*Assumptions!$H$14*Sensitivity!$C$10</f>
        <v/>
      </c>
      <c r="CE28" s="25">
        <f>Models!$H$40*Assumptions!$H$14*Sensitivity!$C$10</f>
        <v/>
      </c>
      <c r="CF28" s="25">
        <f>Models!$H$40*Assumptions!$H$14*Sensitivity!$C$10</f>
        <v/>
      </c>
      <c r="CG28" s="25">
        <f>Models!$H$40*Assumptions!$H$14*Sensitivity!$C$10</f>
        <v/>
      </c>
      <c r="CH28" s="25">
        <f>Models!$H$40*Assumptions!$H$14*Sensitivity!$C$10</f>
        <v/>
      </c>
      <c r="CI28" s="25">
        <f>Models!$H$40*Assumptions!$H$14*Sensitivity!$C$10</f>
        <v/>
      </c>
      <c r="CJ28" s="25">
        <f>Models!$H$40*Assumptions!$H$14*Sensitivity!$C$10</f>
        <v/>
      </c>
      <c r="CK28" s="25">
        <f>Models!$H$40*Assumptions!$H$14*Sensitivity!$C$10</f>
        <v/>
      </c>
      <c r="CL28" s="25">
        <f>Models!$H$40*Assumptions!$H$14*Sensitivity!$C$10</f>
        <v/>
      </c>
      <c r="CM28" s="25">
        <f>Models!$H$40*Assumptions!$H$14*Sensitivity!$C$10</f>
        <v/>
      </c>
      <c r="CN28" s="25">
        <f>Models!$H$40*Assumptions!$H$14*Sensitivity!$C$10</f>
        <v/>
      </c>
      <c r="CO28" s="25">
        <f>Models!$H$40*Assumptions!$H$14*Sensitivity!$C$10</f>
        <v/>
      </c>
      <c r="CP28" s="25">
        <f>Models!$H$40*Assumptions!$H$14*Sensitivity!$C$10</f>
        <v/>
      </c>
      <c r="CQ28" s="25">
        <f>Models!$H$40*Assumptions!$H$14*Sensitivity!$C$10</f>
        <v/>
      </c>
      <c r="CR28" s="25">
        <f>Models!$H$40*Assumptions!$H$14*Sensitivity!$C$10</f>
        <v/>
      </c>
      <c r="CS28" s="25">
        <f>Models!$H$40*Assumptions!$H$14*Sensitivity!$C$10</f>
        <v/>
      </c>
      <c r="CT28" s="25">
        <f>Models!$H$40*Assumptions!$H$14*Sensitivity!$C$10</f>
        <v/>
      </c>
      <c r="CU28" s="25">
        <f>Models!$H$40*Assumptions!$H$14*Sensitivity!$C$10</f>
        <v/>
      </c>
      <c r="CV28" s="25">
        <f>Models!$H$40*Assumptions!$H$14*Sensitivity!$C$10</f>
        <v/>
      </c>
      <c r="CW28" s="25">
        <f>Models!$H$40*Assumptions!$H$14*Sensitivity!$C$10</f>
        <v/>
      </c>
      <c r="CX28" s="25">
        <f>Models!$H$40*Assumptions!$H$14*Sensitivity!$C$10</f>
        <v/>
      </c>
      <c r="CY28" s="25">
        <f>Models!$H$40*Assumptions!$H$14*Sensitivity!$C$10</f>
        <v/>
      </c>
      <c r="CZ28" s="25">
        <f>Models!$H$40*Assumptions!$H$14*Sensitivity!$C$10</f>
        <v/>
      </c>
      <c r="DA28" s="25">
        <f>Models!$H$40*Assumptions!$H$14*Sensitivity!$C$10</f>
        <v/>
      </c>
      <c r="DB28" s="25">
        <f>Models!$H$40*Assumptions!$H$14*Sensitivity!$C$10</f>
        <v/>
      </c>
      <c r="DC28" s="25">
        <f>Models!$H$40*Assumptions!$H$14*Sensitivity!$C$10</f>
        <v/>
      </c>
      <c r="DD28" s="25">
        <f>Models!$H$40*Assumptions!$H$14*Sensitivity!$C$10</f>
        <v/>
      </c>
      <c r="DE28" s="25">
        <f>Models!$H$40*Assumptions!$H$14*Sensitivity!$C$10</f>
        <v/>
      </c>
      <c r="DF28" s="25">
        <f>Models!$H$40*Assumptions!$H$14*Sensitivity!$C$10</f>
        <v/>
      </c>
      <c r="DG28" s="25">
        <f>Models!$H$40*Assumptions!$H$14*Sensitivity!$C$10</f>
        <v/>
      </c>
      <c r="DH28" s="25">
        <f>Models!$H$40*Assumptions!$H$14*Sensitivity!$C$10</f>
        <v/>
      </c>
      <c r="DI28" s="25">
        <f>Models!$H$40*Assumptions!$H$14*Sensitivity!$C$10</f>
        <v/>
      </c>
      <c r="DJ28" s="25">
        <f>Models!$H$40*Assumptions!$H$14*Sensitivity!$C$10</f>
        <v/>
      </c>
      <c r="DK28" s="25">
        <f>Models!$H$40*Assumptions!$H$14*Sensitivity!$C$10</f>
        <v/>
      </c>
      <c r="DL28" s="25">
        <f>Models!$H$40*Assumptions!$H$14*Sensitivity!$C$10</f>
        <v/>
      </c>
      <c r="DM28" s="25">
        <f>Models!$H$40*Assumptions!$H$14*Sensitivity!$C$10</f>
        <v/>
      </c>
      <c r="DN28" s="25">
        <f>Models!$H$40*Assumptions!$H$14*Sensitivity!$C$10</f>
        <v/>
      </c>
      <c r="DO28" s="25">
        <f>Models!$H$40*Assumptions!$H$14*Sensitivity!$C$10</f>
        <v/>
      </c>
      <c r="DP28" s="25">
        <f>Models!$H$40*Assumptions!$H$14*Sensitivity!$C$10</f>
        <v/>
      </c>
      <c r="DQ28" s="25">
        <f>Models!$H$40*Assumptions!$H$14*Sensitivity!$C$10</f>
        <v/>
      </c>
      <c r="DR28" s="25">
        <f>Models!$H$40*Assumptions!$H$14*Sensitivity!$C$10</f>
        <v/>
      </c>
      <c r="DS28" s="25">
        <f>Models!$H$40*Assumptions!$H$14*Sensitivity!$C$10</f>
        <v/>
      </c>
    </row>
    <row r="29">
      <c r="A29" s="2" t="inlineStr">
        <is>
          <t>CF_CASUAL</t>
        </is>
      </c>
      <c r="B29" s="6" t="inlineStr">
        <is>
          <t>Casual labour (orchard)</t>
        </is>
      </c>
      <c r="C29" s="2" t="inlineStr">
        <is>
          <t>RWF</t>
        </is>
      </c>
      <c r="D29" s="25">
        <f>Land!$C$8*Assumptions!$H$16*Assumptions!$H$15*Sensitivity!$C$10/12*IF(D$3&gt;=Control!$C$11,1,0)</f>
        <v/>
      </c>
      <c r="E29" s="25">
        <f>Land!$C$8*Assumptions!$H$16*Assumptions!$H$15*Sensitivity!$C$10/12*IF(E$3&gt;=Control!$C$11,1,0)</f>
        <v/>
      </c>
      <c r="F29" s="25">
        <f>Land!$C$8*Assumptions!$H$16*Assumptions!$H$15*Sensitivity!$C$10/12*IF(F$3&gt;=Control!$C$11,1,0)</f>
        <v/>
      </c>
      <c r="G29" s="25">
        <f>Land!$C$8*Assumptions!$H$16*Assumptions!$H$15*Sensitivity!$C$10/12*IF(G$3&gt;=Control!$C$11,1,0)</f>
        <v/>
      </c>
      <c r="H29" s="25">
        <f>Land!$C$8*Assumptions!$H$16*Assumptions!$H$15*Sensitivity!$C$10/12*IF(H$3&gt;=Control!$C$11,1,0)</f>
        <v/>
      </c>
      <c r="I29" s="25">
        <f>Land!$C$8*Assumptions!$H$16*Assumptions!$H$15*Sensitivity!$C$10/12*IF(I$3&gt;=Control!$C$11,1,0)</f>
        <v/>
      </c>
      <c r="J29" s="25">
        <f>Land!$C$8*Assumptions!$H$16*Assumptions!$H$15*Sensitivity!$C$10/12*IF(J$3&gt;=Control!$C$11,1,0)</f>
        <v/>
      </c>
      <c r="K29" s="25">
        <f>Land!$C$8*Assumptions!$H$16*Assumptions!$H$15*Sensitivity!$C$10/12*IF(K$3&gt;=Control!$C$11,1,0)</f>
        <v/>
      </c>
      <c r="L29" s="25">
        <f>Land!$C$8*Assumptions!$H$16*Assumptions!$H$15*Sensitivity!$C$10/12*IF(L$3&gt;=Control!$C$11,1,0)</f>
        <v/>
      </c>
      <c r="M29" s="25">
        <f>Land!$C$8*Assumptions!$H$16*Assumptions!$H$15*Sensitivity!$C$10/12*IF(M$3&gt;=Control!$C$11,1,0)</f>
        <v/>
      </c>
      <c r="N29" s="25">
        <f>Land!$C$8*Assumptions!$H$16*Assumptions!$H$15*Sensitivity!$C$10/12*IF(N$3&gt;=Control!$C$11,1,0)</f>
        <v/>
      </c>
      <c r="O29" s="25">
        <f>Land!$C$8*Assumptions!$H$16*Assumptions!$H$15*Sensitivity!$C$10/12*IF(O$3&gt;=Control!$C$11,1,0)</f>
        <v/>
      </c>
      <c r="P29" s="25">
        <f>Land!$C$8*Assumptions!$H$16*Assumptions!$H$15*Sensitivity!$C$10/12*IF(P$3&gt;=Control!$C$11,1,0)</f>
        <v/>
      </c>
      <c r="Q29" s="25">
        <f>Land!$C$8*Assumptions!$H$16*Assumptions!$H$15*Sensitivity!$C$10/12*IF(Q$3&gt;=Control!$C$11,1,0)</f>
        <v/>
      </c>
      <c r="R29" s="25">
        <f>Land!$C$8*Assumptions!$H$16*Assumptions!$H$15*Sensitivity!$C$10/12*IF(R$3&gt;=Control!$C$11,1,0)</f>
        <v/>
      </c>
      <c r="S29" s="25">
        <f>Land!$C$8*Assumptions!$H$16*Assumptions!$H$15*Sensitivity!$C$10/12*IF(S$3&gt;=Control!$C$11,1,0)</f>
        <v/>
      </c>
      <c r="T29" s="25">
        <f>Land!$C$8*Assumptions!$H$16*Assumptions!$H$15*Sensitivity!$C$10/12*IF(T$3&gt;=Control!$C$11,1,0)</f>
        <v/>
      </c>
      <c r="U29" s="25">
        <f>Land!$C$8*Assumptions!$H$16*Assumptions!$H$15*Sensitivity!$C$10/12*IF(U$3&gt;=Control!$C$11,1,0)</f>
        <v/>
      </c>
      <c r="V29" s="25">
        <f>Land!$C$8*Assumptions!$H$16*Assumptions!$H$15*Sensitivity!$C$10/12*IF(V$3&gt;=Control!$C$11,1,0)</f>
        <v/>
      </c>
      <c r="W29" s="25">
        <f>Land!$C$8*Assumptions!$H$16*Assumptions!$H$15*Sensitivity!$C$10/12*IF(W$3&gt;=Control!$C$11,1,0)</f>
        <v/>
      </c>
      <c r="X29" s="25">
        <f>Land!$C$8*Assumptions!$H$16*Assumptions!$H$15*Sensitivity!$C$10/12*IF(X$3&gt;=Control!$C$11,1,0)</f>
        <v/>
      </c>
      <c r="Y29" s="25">
        <f>Land!$C$8*Assumptions!$H$16*Assumptions!$H$15*Sensitivity!$C$10/12*IF(Y$3&gt;=Control!$C$11,1,0)</f>
        <v/>
      </c>
      <c r="Z29" s="25">
        <f>Land!$C$8*Assumptions!$H$16*Assumptions!$H$15*Sensitivity!$C$10/12*IF(Z$3&gt;=Control!$C$11,1,0)</f>
        <v/>
      </c>
      <c r="AA29" s="25">
        <f>Land!$C$8*Assumptions!$H$16*Assumptions!$H$15*Sensitivity!$C$10/12*IF(AA$3&gt;=Control!$C$11,1,0)</f>
        <v/>
      </c>
      <c r="AB29" s="25">
        <f>Land!$C$8*Assumptions!$H$16*Assumptions!$H$15*Sensitivity!$C$10/12*IF(AB$3&gt;=Control!$C$11,1,0)</f>
        <v/>
      </c>
      <c r="AC29" s="25">
        <f>Land!$C$8*Assumptions!$H$16*Assumptions!$H$15*Sensitivity!$C$10/12*IF(AC$3&gt;=Control!$C$11,1,0)</f>
        <v/>
      </c>
      <c r="AD29" s="25">
        <f>Land!$C$8*Assumptions!$H$16*Assumptions!$H$15*Sensitivity!$C$10/12*IF(AD$3&gt;=Control!$C$11,1,0)</f>
        <v/>
      </c>
      <c r="AE29" s="25">
        <f>Land!$C$8*Assumptions!$H$16*Assumptions!$H$15*Sensitivity!$C$10/12*IF(AE$3&gt;=Control!$C$11,1,0)</f>
        <v/>
      </c>
      <c r="AF29" s="25">
        <f>Land!$C$8*Assumptions!$H$16*Assumptions!$H$15*Sensitivity!$C$10/12*IF(AF$3&gt;=Control!$C$11,1,0)</f>
        <v/>
      </c>
      <c r="AG29" s="25">
        <f>Land!$C$8*Assumptions!$H$16*Assumptions!$H$15*Sensitivity!$C$10/12*IF(AG$3&gt;=Control!$C$11,1,0)</f>
        <v/>
      </c>
      <c r="AH29" s="25">
        <f>Land!$C$8*Assumptions!$H$16*Assumptions!$H$15*Sensitivity!$C$10/12*IF(AH$3&gt;=Control!$C$11,1,0)</f>
        <v/>
      </c>
      <c r="AI29" s="25">
        <f>Land!$C$8*Assumptions!$H$16*Assumptions!$H$15*Sensitivity!$C$10/12*IF(AI$3&gt;=Control!$C$11,1,0)</f>
        <v/>
      </c>
      <c r="AJ29" s="25">
        <f>Land!$C$8*Assumptions!$H$16*Assumptions!$H$15*Sensitivity!$C$10/12*IF(AJ$3&gt;=Control!$C$11,1,0)</f>
        <v/>
      </c>
      <c r="AK29" s="25">
        <f>Land!$C$8*Assumptions!$H$16*Assumptions!$H$15*Sensitivity!$C$10/12*IF(AK$3&gt;=Control!$C$11,1,0)</f>
        <v/>
      </c>
      <c r="AL29" s="25">
        <f>Land!$C$8*Assumptions!$H$16*Assumptions!$H$15*Sensitivity!$C$10/12*IF(AL$3&gt;=Control!$C$11,1,0)</f>
        <v/>
      </c>
      <c r="AM29" s="25">
        <f>Land!$C$8*Assumptions!$H$16*Assumptions!$H$15*Sensitivity!$C$10/12*IF(AM$3&gt;=Control!$C$11,1,0)</f>
        <v/>
      </c>
      <c r="AN29" s="25">
        <f>Land!$C$8*Assumptions!$H$16*Assumptions!$H$15*Sensitivity!$C$10/12*IF(AN$3&gt;=Control!$C$11,1,0)</f>
        <v/>
      </c>
      <c r="AO29" s="25">
        <f>Land!$C$8*Assumptions!$H$16*Assumptions!$H$15*Sensitivity!$C$10/12*IF(AO$3&gt;=Control!$C$11,1,0)</f>
        <v/>
      </c>
      <c r="AP29" s="25">
        <f>Land!$C$8*Assumptions!$H$16*Assumptions!$H$15*Sensitivity!$C$10/12*IF(AP$3&gt;=Control!$C$11,1,0)</f>
        <v/>
      </c>
      <c r="AQ29" s="25">
        <f>Land!$C$8*Assumptions!$H$16*Assumptions!$H$15*Sensitivity!$C$10/12*IF(AQ$3&gt;=Control!$C$11,1,0)</f>
        <v/>
      </c>
      <c r="AR29" s="25">
        <f>Land!$C$8*Assumptions!$H$16*Assumptions!$H$15*Sensitivity!$C$10/12*IF(AR$3&gt;=Control!$C$11,1,0)</f>
        <v/>
      </c>
      <c r="AS29" s="25">
        <f>Land!$C$8*Assumptions!$H$16*Assumptions!$H$15*Sensitivity!$C$10/12*IF(AS$3&gt;=Control!$C$11,1,0)</f>
        <v/>
      </c>
      <c r="AT29" s="25">
        <f>Land!$C$8*Assumptions!$H$16*Assumptions!$H$15*Sensitivity!$C$10/12*IF(AT$3&gt;=Control!$C$11,1,0)</f>
        <v/>
      </c>
      <c r="AU29" s="25">
        <f>Land!$C$8*Assumptions!$H$16*Assumptions!$H$15*Sensitivity!$C$10/12*IF(AU$3&gt;=Control!$C$11,1,0)</f>
        <v/>
      </c>
      <c r="AV29" s="25">
        <f>Land!$C$8*Assumptions!$H$16*Assumptions!$H$15*Sensitivity!$C$10/12*IF(AV$3&gt;=Control!$C$11,1,0)</f>
        <v/>
      </c>
      <c r="AW29" s="25">
        <f>Land!$C$8*Assumptions!$H$16*Assumptions!$H$15*Sensitivity!$C$10/12*IF(AW$3&gt;=Control!$C$11,1,0)</f>
        <v/>
      </c>
      <c r="AX29" s="25">
        <f>Land!$C$8*Assumptions!$H$16*Assumptions!$H$15*Sensitivity!$C$10/12*IF(AX$3&gt;=Control!$C$11,1,0)</f>
        <v/>
      </c>
      <c r="AY29" s="25">
        <f>Land!$C$8*Assumptions!$H$16*Assumptions!$H$15*Sensitivity!$C$10/12*IF(AY$3&gt;=Control!$C$11,1,0)</f>
        <v/>
      </c>
      <c r="AZ29" s="25">
        <f>Land!$C$8*Assumptions!$H$16*Assumptions!$H$15*Sensitivity!$C$10/12*IF(AZ$3&gt;=Control!$C$11,1,0)</f>
        <v/>
      </c>
      <c r="BA29" s="25">
        <f>Land!$C$8*Assumptions!$H$16*Assumptions!$H$15*Sensitivity!$C$10/12*IF(BA$3&gt;=Control!$C$11,1,0)</f>
        <v/>
      </c>
      <c r="BB29" s="25">
        <f>Land!$C$8*Assumptions!$H$16*Assumptions!$H$15*Sensitivity!$C$10/12*IF(BB$3&gt;=Control!$C$11,1,0)</f>
        <v/>
      </c>
      <c r="BC29" s="25">
        <f>Land!$C$8*Assumptions!$H$16*Assumptions!$H$15*Sensitivity!$C$10/12*IF(BC$3&gt;=Control!$C$11,1,0)</f>
        <v/>
      </c>
      <c r="BD29" s="25">
        <f>Land!$C$8*Assumptions!$H$16*Assumptions!$H$15*Sensitivity!$C$10/12*IF(BD$3&gt;=Control!$C$11,1,0)</f>
        <v/>
      </c>
      <c r="BE29" s="25">
        <f>Land!$C$8*Assumptions!$H$16*Assumptions!$H$15*Sensitivity!$C$10/12*IF(BE$3&gt;=Control!$C$11,1,0)</f>
        <v/>
      </c>
      <c r="BF29" s="25">
        <f>Land!$C$8*Assumptions!$H$16*Assumptions!$H$15*Sensitivity!$C$10/12*IF(BF$3&gt;=Control!$C$11,1,0)</f>
        <v/>
      </c>
      <c r="BG29" s="25">
        <f>Land!$C$8*Assumptions!$H$16*Assumptions!$H$15*Sensitivity!$C$10/12*IF(BG$3&gt;=Control!$C$11,1,0)</f>
        <v/>
      </c>
      <c r="BH29" s="25">
        <f>Land!$C$8*Assumptions!$H$16*Assumptions!$H$15*Sensitivity!$C$10/12*IF(BH$3&gt;=Control!$C$11,1,0)</f>
        <v/>
      </c>
      <c r="BI29" s="25">
        <f>Land!$C$8*Assumptions!$H$16*Assumptions!$H$15*Sensitivity!$C$10/12*IF(BI$3&gt;=Control!$C$11,1,0)</f>
        <v/>
      </c>
      <c r="BJ29" s="25">
        <f>Land!$C$8*Assumptions!$H$16*Assumptions!$H$15*Sensitivity!$C$10/12*IF(BJ$3&gt;=Control!$C$11,1,0)</f>
        <v/>
      </c>
      <c r="BK29" s="25">
        <f>Land!$C$8*Assumptions!$H$16*Assumptions!$H$15*Sensitivity!$C$10/12*IF(BK$3&gt;=Control!$C$11,1,0)</f>
        <v/>
      </c>
      <c r="BL29" s="25">
        <f>Land!$C$8*Assumptions!$H$16*Assumptions!$H$15*Sensitivity!$C$10/12*IF(BL$3&gt;=Control!$C$11,1,0)</f>
        <v/>
      </c>
      <c r="BM29" s="25">
        <f>Land!$C$8*Assumptions!$H$16*Assumptions!$H$15*Sensitivity!$C$10/12*IF(BM$3&gt;=Control!$C$11,1,0)</f>
        <v/>
      </c>
      <c r="BN29" s="25">
        <f>Land!$C$8*Assumptions!$H$16*Assumptions!$H$15*Sensitivity!$C$10/12*IF(BN$3&gt;=Control!$C$11,1,0)</f>
        <v/>
      </c>
      <c r="BO29" s="25">
        <f>Land!$C$8*Assumptions!$H$16*Assumptions!$H$15*Sensitivity!$C$10/12*IF(BO$3&gt;=Control!$C$11,1,0)</f>
        <v/>
      </c>
      <c r="BP29" s="25">
        <f>Land!$C$8*Assumptions!$H$16*Assumptions!$H$15*Sensitivity!$C$10/12*IF(BP$3&gt;=Control!$C$11,1,0)</f>
        <v/>
      </c>
      <c r="BQ29" s="25">
        <f>Land!$C$8*Assumptions!$H$16*Assumptions!$H$15*Sensitivity!$C$10/12*IF(BQ$3&gt;=Control!$C$11,1,0)</f>
        <v/>
      </c>
      <c r="BR29" s="25">
        <f>Land!$C$8*Assumptions!$H$16*Assumptions!$H$15*Sensitivity!$C$10/12*IF(BR$3&gt;=Control!$C$11,1,0)</f>
        <v/>
      </c>
      <c r="BS29" s="25">
        <f>Land!$C$8*Assumptions!$H$16*Assumptions!$H$15*Sensitivity!$C$10/12*IF(BS$3&gt;=Control!$C$11,1,0)</f>
        <v/>
      </c>
      <c r="BT29" s="25">
        <f>Land!$C$8*Assumptions!$H$16*Assumptions!$H$15*Sensitivity!$C$10/12*IF(BT$3&gt;=Control!$C$11,1,0)</f>
        <v/>
      </c>
      <c r="BU29" s="25">
        <f>Land!$C$8*Assumptions!$H$16*Assumptions!$H$15*Sensitivity!$C$10/12*IF(BU$3&gt;=Control!$C$11,1,0)</f>
        <v/>
      </c>
      <c r="BV29" s="25">
        <f>Land!$C$8*Assumptions!$H$16*Assumptions!$H$15*Sensitivity!$C$10/12*IF(BV$3&gt;=Control!$C$11,1,0)</f>
        <v/>
      </c>
      <c r="BW29" s="25">
        <f>Land!$C$8*Assumptions!$H$16*Assumptions!$H$15*Sensitivity!$C$10/12*IF(BW$3&gt;=Control!$C$11,1,0)</f>
        <v/>
      </c>
      <c r="BX29" s="25">
        <f>Land!$C$8*Assumptions!$H$16*Assumptions!$H$15*Sensitivity!$C$10/12*IF(BX$3&gt;=Control!$C$11,1,0)</f>
        <v/>
      </c>
      <c r="BY29" s="25">
        <f>Land!$C$8*Assumptions!$H$16*Assumptions!$H$15*Sensitivity!$C$10/12*IF(BY$3&gt;=Control!$C$11,1,0)</f>
        <v/>
      </c>
      <c r="BZ29" s="25">
        <f>Land!$C$8*Assumptions!$H$16*Assumptions!$H$15*Sensitivity!$C$10/12*IF(BZ$3&gt;=Control!$C$11,1,0)</f>
        <v/>
      </c>
      <c r="CA29" s="25">
        <f>Land!$C$8*Assumptions!$H$16*Assumptions!$H$15*Sensitivity!$C$10/12*IF(CA$3&gt;=Control!$C$11,1,0)</f>
        <v/>
      </c>
      <c r="CB29" s="25">
        <f>Land!$C$8*Assumptions!$H$16*Assumptions!$H$15*Sensitivity!$C$10/12*IF(CB$3&gt;=Control!$C$11,1,0)</f>
        <v/>
      </c>
      <c r="CC29" s="25">
        <f>Land!$C$8*Assumptions!$H$16*Assumptions!$H$15*Sensitivity!$C$10/12*IF(CC$3&gt;=Control!$C$11,1,0)</f>
        <v/>
      </c>
      <c r="CD29" s="25">
        <f>Land!$C$8*Assumptions!$H$16*Assumptions!$H$15*Sensitivity!$C$10/12*IF(CD$3&gt;=Control!$C$11,1,0)</f>
        <v/>
      </c>
      <c r="CE29" s="25">
        <f>Land!$C$8*Assumptions!$H$16*Assumptions!$H$15*Sensitivity!$C$10/12*IF(CE$3&gt;=Control!$C$11,1,0)</f>
        <v/>
      </c>
      <c r="CF29" s="25">
        <f>Land!$C$8*Assumptions!$H$16*Assumptions!$H$15*Sensitivity!$C$10/12*IF(CF$3&gt;=Control!$C$11,1,0)</f>
        <v/>
      </c>
      <c r="CG29" s="25">
        <f>Land!$C$8*Assumptions!$H$16*Assumptions!$H$15*Sensitivity!$C$10/12*IF(CG$3&gt;=Control!$C$11,1,0)</f>
        <v/>
      </c>
      <c r="CH29" s="25">
        <f>Land!$C$8*Assumptions!$H$16*Assumptions!$H$15*Sensitivity!$C$10/12*IF(CH$3&gt;=Control!$C$11,1,0)</f>
        <v/>
      </c>
      <c r="CI29" s="25">
        <f>Land!$C$8*Assumptions!$H$16*Assumptions!$H$15*Sensitivity!$C$10/12*IF(CI$3&gt;=Control!$C$11,1,0)</f>
        <v/>
      </c>
      <c r="CJ29" s="25">
        <f>Land!$C$8*Assumptions!$H$16*Assumptions!$H$15*Sensitivity!$C$10/12*IF(CJ$3&gt;=Control!$C$11,1,0)</f>
        <v/>
      </c>
      <c r="CK29" s="25">
        <f>Land!$C$8*Assumptions!$H$16*Assumptions!$H$15*Sensitivity!$C$10/12*IF(CK$3&gt;=Control!$C$11,1,0)</f>
        <v/>
      </c>
      <c r="CL29" s="25">
        <f>Land!$C$8*Assumptions!$H$16*Assumptions!$H$15*Sensitivity!$C$10/12*IF(CL$3&gt;=Control!$C$11,1,0)</f>
        <v/>
      </c>
      <c r="CM29" s="25">
        <f>Land!$C$8*Assumptions!$H$16*Assumptions!$H$15*Sensitivity!$C$10/12*IF(CM$3&gt;=Control!$C$11,1,0)</f>
        <v/>
      </c>
      <c r="CN29" s="25">
        <f>Land!$C$8*Assumptions!$H$16*Assumptions!$H$15*Sensitivity!$C$10/12*IF(CN$3&gt;=Control!$C$11,1,0)</f>
        <v/>
      </c>
      <c r="CO29" s="25">
        <f>Land!$C$8*Assumptions!$H$16*Assumptions!$H$15*Sensitivity!$C$10/12*IF(CO$3&gt;=Control!$C$11,1,0)</f>
        <v/>
      </c>
      <c r="CP29" s="25">
        <f>Land!$C$8*Assumptions!$H$16*Assumptions!$H$15*Sensitivity!$C$10/12*IF(CP$3&gt;=Control!$C$11,1,0)</f>
        <v/>
      </c>
      <c r="CQ29" s="25">
        <f>Land!$C$8*Assumptions!$H$16*Assumptions!$H$15*Sensitivity!$C$10/12*IF(CQ$3&gt;=Control!$C$11,1,0)</f>
        <v/>
      </c>
      <c r="CR29" s="25">
        <f>Land!$C$8*Assumptions!$H$16*Assumptions!$H$15*Sensitivity!$C$10/12*IF(CR$3&gt;=Control!$C$11,1,0)</f>
        <v/>
      </c>
      <c r="CS29" s="25">
        <f>Land!$C$8*Assumptions!$H$16*Assumptions!$H$15*Sensitivity!$C$10/12*IF(CS$3&gt;=Control!$C$11,1,0)</f>
        <v/>
      </c>
      <c r="CT29" s="25">
        <f>Land!$C$8*Assumptions!$H$16*Assumptions!$H$15*Sensitivity!$C$10/12*IF(CT$3&gt;=Control!$C$11,1,0)</f>
        <v/>
      </c>
      <c r="CU29" s="25">
        <f>Land!$C$8*Assumptions!$H$16*Assumptions!$H$15*Sensitivity!$C$10/12*IF(CU$3&gt;=Control!$C$11,1,0)</f>
        <v/>
      </c>
      <c r="CV29" s="25">
        <f>Land!$C$8*Assumptions!$H$16*Assumptions!$H$15*Sensitivity!$C$10/12*IF(CV$3&gt;=Control!$C$11,1,0)</f>
        <v/>
      </c>
      <c r="CW29" s="25">
        <f>Land!$C$8*Assumptions!$H$16*Assumptions!$H$15*Sensitivity!$C$10/12*IF(CW$3&gt;=Control!$C$11,1,0)</f>
        <v/>
      </c>
      <c r="CX29" s="25">
        <f>Land!$C$8*Assumptions!$H$16*Assumptions!$H$15*Sensitivity!$C$10/12*IF(CX$3&gt;=Control!$C$11,1,0)</f>
        <v/>
      </c>
      <c r="CY29" s="25">
        <f>Land!$C$8*Assumptions!$H$16*Assumptions!$H$15*Sensitivity!$C$10/12*IF(CY$3&gt;=Control!$C$11,1,0)</f>
        <v/>
      </c>
      <c r="CZ29" s="25">
        <f>Land!$C$8*Assumptions!$H$16*Assumptions!$H$15*Sensitivity!$C$10/12*IF(CZ$3&gt;=Control!$C$11,1,0)</f>
        <v/>
      </c>
      <c r="DA29" s="25">
        <f>Land!$C$8*Assumptions!$H$16*Assumptions!$H$15*Sensitivity!$C$10/12*IF(DA$3&gt;=Control!$C$11,1,0)</f>
        <v/>
      </c>
      <c r="DB29" s="25">
        <f>Land!$C$8*Assumptions!$H$16*Assumptions!$H$15*Sensitivity!$C$10/12*IF(DB$3&gt;=Control!$C$11,1,0)</f>
        <v/>
      </c>
      <c r="DC29" s="25">
        <f>Land!$C$8*Assumptions!$H$16*Assumptions!$H$15*Sensitivity!$C$10/12*IF(DC$3&gt;=Control!$C$11,1,0)</f>
        <v/>
      </c>
      <c r="DD29" s="25">
        <f>Land!$C$8*Assumptions!$H$16*Assumptions!$H$15*Sensitivity!$C$10/12*IF(DD$3&gt;=Control!$C$11,1,0)</f>
        <v/>
      </c>
      <c r="DE29" s="25">
        <f>Land!$C$8*Assumptions!$H$16*Assumptions!$H$15*Sensitivity!$C$10/12*IF(DE$3&gt;=Control!$C$11,1,0)</f>
        <v/>
      </c>
      <c r="DF29" s="25">
        <f>Land!$C$8*Assumptions!$H$16*Assumptions!$H$15*Sensitivity!$C$10/12*IF(DF$3&gt;=Control!$C$11,1,0)</f>
        <v/>
      </c>
      <c r="DG29" s="25">
        <f>Land!$C$8*Assumptions!$H$16*Assumptions!$H$15*Sensitivity!$C$10/12*IF(DG$3&gt;=Control!$C$11,1,0)</f>
        <v/>
      </c>
      <c r="DH29" s="25">
        <f>Land!$C$8*Assumptions!$H$16*Assumptions!$H$15*Sensitivity!$C$10/12*IF(DH$3&gt;=Control!$C$11,1,0)</f>
        <v/>
      </c>
      <c r="DI29" s="25">
        <f>Land!$C$8*Assumptions!$H$16*Assumptions!$H$15*Sensitivity!$C$10/12*IF(DI$3&gt;=Control!$C$11,1,0)</f>
        <v/>
      </c>
      <c r="DJ29" s="25">
        <f>Land!$C$8*Assumptions!$H$16*Assumptions!$H$15*Sensitivity!$C$10/12*IF(DJ$3&gt;=Control!$C$11,1,0)</f>
        <v/>
      </c>
      <c r="DK29" s="25">
        <f>Land!$C$8*Assumptions!$H$16*Assumptions!$H$15*Sensitivity!$C$10/12*IF(DK$3&gt;=Control!$C$11,1,0)</f>
        <v/>
      </c>
      <c r="DL29" s="25">
        <f>Land!$C$8*Assumptions!$H$16*Assumptions!$H$15*Sensitivity!$C$10/12*IF(DL$3&gt;=Control!$C$11,1,0)</f>
        <v/>
      </c>
      <c r="DM29" s="25">
        <f>Land!$C$8*Assumptions!$H$16*Assumptions!$H$15*Sensitivity!$C$10/12*IF(DM$3&gt;=Control!$C$11,1,0)</f>
        <v/>
      </c>
      <c r="DN29" s="25">
        <f>Land!$C$8*Assumptions!$H$16*Assumptions!$H$15*Sensitivity!$C$10/12*IF(DN$3&gt;=Control!$C$11,1,0)</f>
        <v/>
      </c>
      <c r="DO29" s="25">
        <f>Land!$C$8*Assumptions!$H$16*Assumptions!$H$15*Sensitivity!$C$10/12*IF(DO$3&gt;=Control!$C$11,1,0)</f>
        <v/>
      </c>
      <c r="DP29" s="25">
        <f>Land!$C$8*Assumptions!$H$16*Assumptions!$H$15*Sensitivity!$C$10/12*IF(DP$3&gt;=Control!$C$11,1,0)</f>
        <v/>
      </c>
      <c r="DQ29" s="25">
        <f>Land!$C$8*Assumptions!$H$16*Assumptions!$H$15*Sensitivity!$C$10/12*IF(DQ$3&gt;=Control!$C$11,1,0)</f>
        <v/>
      </c>
      <c r="DR29" s="25">
        <f>Land!$C$8*Assumptions!$H$16*Assumptions!$H$15*Sensitivity!$C$10/12*IF(DR$3&gt;=Control!$C$11,1,0)</f>
        <v/>
      </c>
      <c r="DS29" s="25">
        <f>Land!$C$8*Assumptions!$H$16*Assumptions!$H$15*Sensitivity!$C$10/12*IF(DS$3&gt;=Control!$C$11,1,0)</f>
        <v/>
      </c>
    </row>
    <row r="30">
      <c r="A30" s="2" t="inlineStr">
        <is>
          <t>CF_VET</t>
        </is>
      </c>
      <c r="B30" s="6" t="inlineStr">
        <is>
          <t>Veterinary care, medicines, minerals</t>
        </is>
      </c>
      <c r="C30" s="2" t="inlineStr">
        <is>
          <t>RWF</t>
        </is>
      </c>
      <c r="D30" s="25">
        <f>(Livestock!D24+Livestock!D48)*(Assumptions!$H$39+Assumptions!$H$40)/12</f>
        <v/>
      </c>
      <c r="E30" s="25">
        <f>(Livestock!E24+Livestock!E48)*(Assumptions!$H$39+Assumptions!$H$40)/12</f>
        <v/>
      </c>
      <c r="F30" s="25">
        <f>(Livestock!F24+Livestock!F48)*(Assumptions!$H$39+Assumptions!$H$40)/12</f>
        <v/>
      </c>
      <c r="G30" s="25">
        <f>(Livestock!G24+Livestock!G48)*(Assumptions!$H$39+Assumptions!$H$40)/12</f>
        <v/>
      </c>
      <c r="H30" s="25">
        <f>(Livestock!H24+Livestock!H48)*(Assumptions!$H$39+Assumptions!$H$40)/12</f>
        <v/>
      </c>
      <c r="I30" s="25">
        <f>(Livestock!I24+Livestock!I48)*(Assumptions!$H$39+Assumptions!$H$40)/12</f>
        <v/>
      </c>
      <c r="J30" s="25">
        <f>(Livestock!J24+Livestock!J48)*(Assumptions!$H$39+Assumptions!$H$40)/12</f>
        <v/>
      </c>
      <c r="K30" s="25">
        <f>(Livestock!K24+Livestock!K48)*(Assumptions!$H$39+Assumptions!$H$40)/12</f>
        <v/>
      </c>
      <c r="L30" s="25">
        <f>(Livestock!L24+Livestock!L48)*(Assumptions!$H$39+Assumptions!$H$40)/12</f>
        <v/>
      </c>
      <c r="M30" s="25">
        <f>(Livestock!M24+Livestock!M48)*(Assumptions!$H$39+Assumptions!$H$40)/12</f>
        <v/>
      </c>
      <c r="N30" s="25">
        <f>(Livestock!N24+Livestock!N48)*(Assumptions!$H$39+Assumptions!$H$40)/12</f>
        <v/>
      </c>
      <c r="O30" s="25">
        <f>(Livestock!O24+Livestock!O48)*(Assumptions!$H$39+Assumptions!$H$40)/12</f>
        <v/>
      </c>
      <c r="P30" s="25">
        <f>(Livestock!P24+Livestock!P48)*(Assumptions!$H$39+Assumptions!$H$40)/12</f>
        <v/>
      </c>
      <c r="Q30" s="25">
        <f>(Livestock!Q24+Livestock!Q48)*(Assumptions!$H$39+Assumptions!$H$40)/12</f>
        <v/>
      </c>
      <c r="R30" s="25">
        <f>(Livestock!R24+Livestock!R48)*(Assumptions!$H$39+Assumptions!$H$40)/12</f>
        <v/>
      </c>
      <c r="S30" s="25">
        <f>(Livestock!S24+Livestock!S48)*(Assumptions!$H$39+Assumptions!$H$40)/12</f>
        <v/>
      </c>
      <c r="T30" s="25">
        <f>(Livestock!T24+Livestock!T48)*(Assumptions!$H$39+Assumptions!$H$40)/12</f>
        <v/>
      </c>
      <c r="U30" s="25">
        <f>(Livestock!U24+Livestock!U48)*(Assumptions!$H$39+Assumptions!$H$40)/12</f>
        <v/>
      </c>
      <c r="V30" s="25">
        <f>(Livestock!V24+Livestock!V48)*(Assumptions!$H$39+Assumptions!$H$40)/12</f>
        <v/>
      </c>
      <c r="W30" s="25">
        <f>(Livestock!W24+Livestock!W48)*(Assumptions!$H$39+Assumptions!$H$40)/12</f>
        <v/>
      </c>
      <c r="X30" s="25">
        <f>(Livestock!X24+Livestock!X48)*(Assumptions!$H$39+Assumptions!$H$40)/12</f>
        <v/>
      </c>
      <c r="Y30" s="25">
        <f>(Livestock!Y24+Livestock!Y48)*(Assumptions!$H$39+Assumptions!$H$40)/12</f>
        <v/>
      </c>
      <c r="Z30" s="25">
        <f>(Livestock!Z24+Livestock!Z48)*(Assumptions!$H$39+Assumptions!$H$40)/12</f>
        <v/>
      </c>
      <c r="AA30" s="25">
        <f>(Livestock!AA24+Livestock!AA48)*(Assumptions!$H$39+Assumptions!$H$40)/12</f>
        <v/>
      </c>
      <c r="AB30" s="25">
        <f>(Livestock!AB24+Livestock!AB48)*(Assumptions!$H$39+Assumptions!$H$40)/12</f>
        <v/>
      </c>
      <c r="AC30" s="25">
        <f>(Livestock!AC24+Livestock!AC48)*(Assumptions!$H$39+Assumptions!$H$40)/12</f>
        <v/>
      </c>
      <c r="AD30" s="25">
        <f>(Livestock!AD24+Livestock!AD48)*(Assumptions!$H$39+Assumptions!$H$40)/12</f>
        <v/>
      </c>
      <c r="AE30" s="25">
        <f>(Livestock!AE24+Livestock!AE48)*(Assumptions!$H$39+Assumptions!$H$40)/12</f>
        <v/>
      </c>
      <c r="AF30" s="25">
        <f>(Livestock!AF24+Livestock!AF48)*(Assumptions!$H$39+Assumptions!$H$40)/12</f>
        <v/>
      </c>
      <c r="AG30" s="25">
        <f>(Livestock!AG24+Livestock!AG48)*(Assumptions!$H$39+Assumptions!$H$40)/12</f>
        <v/>
      </c>
      <c r="AH30" s="25">
        <f>(Livestock!AH24+Livestock!AH48)*(Assumptions!$H$39+Assumptions!$H$40)/12</f>
        <v/>
      </c>
      <c r="AI30" s="25">
        <f>(Livestock!AI24+Livestock!AI48)*(Assumptions!$H$39+Assumptions!$H$40)/12</f>
        <v/>
      </c>
      <c r="AJ30" s="25">
        <f>(Livestock!AJ24+Livestock!AJ48)*(Assumptions!$H$39+Assumptions!$H$40)/12</f>
        <v/>
      </c>
      <c r="AK30" s="25">
        <f>(Livestock!AK24+Livestock!AK48)*(Assumptions!$H$39+Assumptions!$H$40)/12</f>
        <v/>
      </c>
      <c r="AL30" s="25">
        <f>(Livestock!AL24+Livestock!AL48)*(Assumptions!$H$39+Assumptions!$H$40)/12</f>
        <v/>
      </c>
      <c r="AM30" s="25">
        <f>(Livestock!AM24+Livestock!AM48)*(Assumptions!$H$39+Assumptions!$H$40)/12</f>
        <v/>
      </c>
      <c r="AN30" s="25">
        <f>(Livestock!AN24+Livestock!AN48)*(Assumptions!$H$39+Assumptions!$H$40)/12</f>
        <v/>
      </c>
      <c r="AO30" s="25">
        <f>(Livestock!AO24+Livestock!AO48)*(Assumptions!$H$39+Assumptions!$H$40)/12</f>
        <v/>
      </c>
      <c r="AP30" s="25">
        <f>(Livestock!AP24+Livestock!AP48)*(Assumptions!$H$39+Assumptions!$H$40)/12</f>
        <v/>
      </c>
      <c r="AQ30" s="25">
        <f>(Livestock!AQ24+Livestock!AQ48)*(Assumptions!$H$39+Assumptions!$H$40)/12</f>
        <v/>
      </c>
      <c r="AR30" s="25">
        <f>(Livestock!AR24+Livestock!AR48)*(Assumptions!$H$39+Assumptions!$H$40)/12</f>
        <v/>
      </c>
      <c r="AS30" s="25">
        <f>(Livestock!AS24+Livestock!AS48)*(Assumptions!$H$39+Assumptions!$H$40)/12</f>
        <v/>
      </c>
      <c r="AT30" s="25">
        <f>(Livestock!AT24+Livestock!AT48)*(Assumptions!$H$39+Assumptions!$H$40)/12</f>
        <v/>
      </c>
      <c r="AU30" s="25">
        <f>(Livestock!AU24+Livestock!AU48)*(Assumptions!$H$39+Assumptions!$H$40)/12</f>
        <v/>
      </c>
      <c r="AV30" s="25">
        <f>(Livestock!AV24+Livestock!AV48)*(Assumptions!$H$39+Assumptions!$H$40)/12</f>
        <v/>
      </c>
      <c r="AW30" s="25">
        <f>(Livestock!AW24+Livestock!AW48)*(Assumptions!$H$39+Assumptions!$H$40)/12</f>
        <v/>
      </c>
      <c r="AX30" s="25">
        <f>(Livestock!AX24+Livestock!AX48)*(Assumptions!$H$39+Assumptions!$H$40)/12</f>
        <v/>
      </c>
      <c r="AY30" s="25">
        <f>(Livestock!AY24+Livestock!AY48)*(Assumptions!$H$39+Assumptions!$H$40)/12</f>
        <v/>
      </c>
      <c r="AZ30" s="25">
        <f>(Livestock!AZ24+Livestock!AZ48)*(Assumptions!$H$39+Assumptions!$H$40)/12</f>
        <v/>
      </c>
      <c r="BA30" s="25">
        <f>(Livestock!BA24+Livestock!BA48)*(Assumptions!$H$39+Assumptions!$H$40)/12</f>
        <v/>
      </c>
      <c r="BB30" s="25">
        <f>(Livestock!BB24+Livestock!BB48)*(Assumptions!$H$39+Assumptions!$H$40)/12</f>
        <v/>
      </c>
      <c r="BC30" s="25">
        <f>(Livestock!BC24+Livestock!BC48)*(Assumptions!$H$39+Assumptions!$H$40)/12</f>
        <v/>
      </c>
      <c r="BD30" s="25">
        <f>(Livestock!BD24+Livestock!BD48)*(Assumptions!$H$39+Assumptions!$H$40)/12</f>
        <v/>
      </c>
      <c r="BE30" s="25">
        <f>(Livestock!BE24+Livestock!BE48)*(Assumptions!$H$39+Assumptions!$H$40)/12</f>
        <v/>
      </c>
      <c r="BF30" s="25">
        <f>(Livestock!BF24+Livestock!BF48)*(Assumptions!$H$39+Assumptions!$H$40)/12</f>
        <v/>
      </c>
      <c r="BG30" s="25">
        <f>(Livestock!BG24+Livestock!BG48)*(Assumptions!$H$39+Assumptions!$H$40)/12</f>
        <v/>
      </c>
      <c r="BH30" s="25">
        <f>(Livestock!BH24+Livestock!BH48)*(Assumptions!$H$39+Assumptions!$H$40)/12</f>
        <v/>
      </c>
      <c r="BI30" s="25">
        <f>(Livestock!BI24+Livestock!BI48)*(Assumptions!$H$39+Assumptions!$H$40)/12</f>
        <v/>
      </c>
      <c r="BJ30" s="25">
        <f>(Livestock!BJ24+Livestock!BJ48)*(Assumptions!$H$39+Assumptions!$H$40)/12</f>
        <v/>
      </c>
      <c r="BK30" s="25">
        <f>(Livestock!BK24+Livestock!BK48)*(Assumptions!$H$39+Assumptions!$H$40)/12</f>
        <v/>
      </c>
      <c r="BL30" s="25">
        <f>(Livestock!BL24+Livestock!BL48)*(Assumptions!$H$39+Assumptions!$H$40)/12</f>
        <v/>
      </c>
      <c r="BM30" s="25">
        <f>(Livestock!BM24+Livestock!BM48)*(Assumptions!$H$39+Assumptions!$H$40)/12</f>
        <v/>
      </c>
      <c r="BN30" s="25">
        <f>(Livestock!BN24+Livestock!BN48)*(Assumptions!$H$39+Assumptions!$H$40)/12</f>
        <v/>
      </c>
      <c r="BO30" s="25">
        <f>(Livestock!BO24+Livestock!BO48)*(Assumptions!$H$39+Assumptions!$H$40)/12</f>
        <v/>
      </c>
      <c r="BP30" s="25">
        <f>(Livestock!BP24+Livestock!BP48)*(Assumptions!$H$39+Assumptions!$H$40)/12</f>
        <v/>
      </c>
      <c r="BQ30" s="25">
        <f>(Livestock!BQ24+Livestock!BQ48)*(Assumptions!$H$39+Assumptions!$H$40)/12</f>
        <v/>
      </c>
      <c r="BR30" s="25">
        <f>(Livestock!BR24+Livestock!BR48)*(Assumptions!$H$39+Assumptions!$H$40)/12</f>
        <v/>
      </c>
      <c r="BS30" s="25">
        <f>(Livestock!BS24+Livestock!BS48)*(Assumptions!$H$39+Assumptions!$H$40)/12</f>
        <v/>
      </c>
      <c r="BT30" s="25">
        <f>(Livestock!BT24+Livestock!BT48)*(Assumptions!$H$39+Assumptions!$H$40)/12</f>
        <v/>
      </c>
      <c r="BU30" s="25">
        <f>(Livestock!BU24+Livestock!BU48)*(Assumptions!$H$39+Assumptions!$H$40)/12</f>
        <v/>
      </c>
      <c r="BV30" s="25">
        <f>(Livestock!BV24+Livestock!BV48)*(Assumptions!$H$39+Assumptions!$H$40)/12</f>
        <v/>
      </c>
      <c r="BW30" s="25">
        <f>(Livestock!BW24+Livestock!BW48)*(Assumptions!$H$39+Assumptions!$H$40)/12</f>
        <v/>
      </c>
      <c r="BX30" s="25">
        <f>(Livestock!BX24+Livestock!BX48)*(Assumptions!$H$39+Assumptions!$H$40)/12</f>
        <v/>
      </c>
      <c r="BY30" s="25">
        <f>(Livestock!BY24+Livestock!BY48)*(Assumptions!$H$39+Assumptions!$H$40)/12</f>
        <v/>
      </c>
      <c r="BZ30" s="25">
        <f>(Livestock!BZ24+Livestock!BZ48)*(Assumptions!$H$39+Assumptions!$H$40)/12</f>
        <v/>
      </c>
      <c r="CA30" s="25">
        <f>(Livestock!CA24+Livestock!CA48)*(Assumptions!$H$39+Assumptions!$H$40)/12</f>
        <v/>
      </c>
      <c r="CB30" s="25">
        <f>(Livestock!CB24+Livestock!CB48)*(Assumptions!$H$39+Assumptions!$H$40)/12</f>
        <v/>
      </c>
      <c r="CC30" s="25">
        <f>(Livestock!CC24+Livestock!CC48)*(Assumptions!$H$39+Assumptions!$H$40)/12</f>
        <v/>
      </c>
      <c r="CD30" s="25">
        <f>(Livestock!CD24+Livestock!CD48)*(Assumptions!$H$39+Assumptions!$H$40)/12</f>
        <v/>
      </c>
      <c r="CE30" s="25">
        <f>(Livestock!CE24+Livestock!CE48)*(Assumptions!$H$39+Assumptions!$H$40)/12</f>
        <v/>
      </c>
      <c r="CF30" s="25">
        <f>(Livestock!CF24+Livestock!CF48)*(Assumptions!$H$39+Assumptions!$H$40)/12</f>
        <v/>
      </c>
      <c r="CG30" s="25">
        <f>(Livestock!CG24+Livestock!CG48)*(Assumptions!$H$39+Assumptions!$H$40)/12</f>
        <v/>
      </c>
      <c r="CH30" s="25">
        <f>(Livestock!CH24+Livestock!CH48)*(Assumptions!$H$39+Assumptions!$H$40)/12</f>
        <v/>
      </c>
      <c r="CI30" s="25">
        <f>(Livestock!CI24+Livestock!CI48)*(Assumptions!$H$39+Assumptions!$H$40)/12</f>
        <v/>
      </c>
      <c r="CJ30" s="25">
        <f>(Livestock!CJ24+Livestock!CJ48)*(Assumptions!$H$39+Assumptions!$H$40)/12</f>
        <v/>
      </c>
      <c r="CK30" s="25">
        <f>(Livestock!CK24+Livestock!CK48)*(Assumptions!$H$39+Assumptions!$H$40)/12</f>
        <v/>
      </c>
      <c r="CL30" s="25">
        <f>(Livestock!CL24+Livestock!CL48)*(Assumptions!$H$39+Assumptions!$H$40)/12</f>
        <v/>
      </c>
      <c r="CM30" s="25">
        <f>(Livestock!CM24+Livestock!CM48)*(Assumptions!$H$39+Assumptions!$H$40)/12</f>
        <v/>
      </c>
      <c r="CN30" s="25">
        <f>(Livestock!CN24+Livestock!CN48)*(Assumptions!$H$39+Assumptions!$H$40)/12</f>
        <v/>
      </c>
      <c r="CO30" s="25">
        <f>(Livestock!CO24+Livestock!CO48)*(Assumptions!$H$39+Assumptions!$H$40)/12</f>
        <v/>
      </c>
      <c r="CP30" s="25">
        <f>(Livestock!CP24+Livestock!CP48)*(Assumptions!$H$39+Assumptions!$H$40)/12</f>
        <v/>
      </c>
      <c r="CQ30" s="25">
        <f>(Livestock!CQ24+Livestock!CQ48)*(Assumptions!$H$39+Assumptions!$H$40)/12</f>
        <v/>
      </c>
      <c r="CR30" s="25">
        <f>(Livestock!CR24+Livestock!CR48)*(Assumptions!$H$39+Assumptions!$H$40)/12</f>
        <v/>
      </c>
      <c r="CS30" s="25">
        <f>(Livestock!CS24+Livestock!CS48)*(Assumptions!$H$39+Assumptions!$H$40)/12</f>
        <v/>
      </c>
      <c r="CT30" s="25">
        <f>(Livestock!CT24+Livestock!CT48)*(Assumptions!$H$39+Assumptions!$H$40)/12</f>
        <v/>
      </c>
      <c r="CU30" s="25">
        <f>(Livestock!CU24+Livestock!CU48)*(Assumptions!$H$39+Assumptions!$H$40)/12</f>
        <v/>
      </c>
      <c r="CV30" s="25">
        <f>(Livestock!CV24+Livestock!CV48)*(Assumptions!$H$39+Assumptions!$H$40)/12</f>
        <v/>
      </c>
      <c r="CW30" s="25">
        <f>(Livestock!CW24+Livestock!CW48)*(Assumptions!$H$39+Assumptions!$H$40)/12</f>
        <v/>
      </c>
      <c r="CX30" s="25">
        <f>(Livestock!CX24+Livestock!CX48)*(Assumptions!$H$39+Assumptions!$H$40)/12</f>
        <v/>
      </c>
      <c r="CY30" s="25">
        <f>(Livestock!CY24+Livestock!CY48)*(Assumptions!$H$39+Assumptions!$H$40)/12</f>
        <v/>
      </c>
      <c r="CZ30" s="25">
        <f>(Livestock!CZ24+Livestock!CZ48)*(Assumptions!$H$39+Assumptions!$H$40)/12</f>
        <v/>
      </c>
      <c r="DA30" s="25">
        <f>(Livestock!DA24+Livestock!DA48)*(Assumptions!$H$39+Assumptions!$H$40)/12</f>
        <v/>
      </c>
      <c r="DB30" s="25">
        <f>(Livestock!DB24+Livestock!DB48)*(Assumptions!$H$39+Assumptions!$H$40)/12</f>
        <v/>
      </c>
      <c r="DC30" s="25">
        <f>(Livestock!DC24+Livestock!DC48)*(Assumptions!$H$39+Assumptions!$H$40)/12</f>
        <v/>
      </c>
      <c r="DD30" s="25">
        <f>(Livestock!DD24+Livestock!DD48)*(Assumptions!$H$39+Assumptions!$H$40)/12</f>
        <v/>
      </c>
      <c r="DE30" s="25">
        <f>(Livestock!DE24+Livestock!DE48)*(Assumptions!$H$39+Assumptions!$H$40)/12</f>
        <v/>
      </c>
      <c r="DF30" s="25">
        <f>(Livestock!DF24+Livestock!DF48)*(Assumptions!$H$39+Assumptions!$H$40)/12</f>
        <v/>
      </c>
      <c r="DG30" s="25">
        <f>(Livestock!DG24+Livestock!DG48)*(Assumptions!$H$39+Assumptions!$H$40)/12</f>
        <v/>
      </c>
      <c r="DH30" s="25">
        <f>(Livestock!DH24+Livestock!DH48)*(Assumptions!$H$39+Assumptions!$H$40)/12</f>
        <v/>
      </c>
      <c r="DI30" s="25">
        <f>(Livestock!DI24+Livestock!DI48)*(Assumptions!$H$39+Assumptions!$H$40)/12</f>
        <v/>
      </c>
      <c r="DJ30" s="25">
        <f>(Livestock!DJ24+Livestock!DJ48)*(Assumptions!$H$39+Assumptions!$H$40)/12</f>
        <v/>
      </c>
      <c r="DK30" s="25">
        <f>(Livestock!DK24+Livestock!DK48)*(Assumptions!$H$39+Assumptions!$H$40)/12</f>
        <v/>
      </c>
      <c r="DL30" s="25">
        <f>(Livestock!DL24+Livestock!DL48)*(Assumptions!$H$39+Assumptions!$H$40)/12</f>
        <v/>
      </c>
      <c r="DM30" s="25">
        <f>(Livestock!DM24+Livestock!DM48)*(Assumptions!$H$39+Assumptions!$H$40)/12</f>
        <v/>
      </c>
      <c r="DN30" s="25">
        <f>(Livestock!DN24+Livestock!DN48)*(Assumptions!$H$39+Assumptions!$H$40)/12</f>
        <v/>
      </c>
      <c r="DO30" s="25">
        <f>(Livestock!DO24+Livestock!DO48)*(Assumptions!$H$39+Assumptions!$H$40)/12</f>
        <v/>
      </c>
      <c r="DP30" s="25">
        <f>(Livestock!DP24+Livestock!DP48)*(Assumptions!$H$39+Assumptions!$H$40)/12</f>
        <v/>
      </c>
      <c r="DQ30" s="25">
        <f>(Livestock!DQ24+Livestock!DQ48)*(Assumptions!$H$39+Assumptions!$H$40)/12</f>
        <v/>
      </c>
      <c r="DR30" s="25">
        <f>(Livestock!DR24+Livestock!DR48)*(Assumptions!$H$39+Assumptions!$H$40)/12</f>
        <v/>
      </c>
      <c r="DS30" s="25">
        <f>(Livestock!DS24+Livestock!DS48)*(Assumptions!$H$39+Assumptions!$H$40)/12</f>
        <v/>
      </c>
    </row>
    <row r="31">
      <c r="A31" s="2" t="inlineStr">
        <is>
          <t>CF_FEED</t>
        </is>
      </c>
      <c r="B31" s="6" t="inlineStr">
        <is>
          <t>Feed bought</t>
        </is>
      </c>
      <c r="C31" s="2" t="inlineStr">
        <is>
          <t>RWF</t>
        </is>
      </c>
      <c r="D31" s="10">
        <f>Feed!D18</f>
        <v/>
      </c>
      <c r="E31" s="10">
        <f>Feed!E18</f>
        <v/>
      </c>
      <c r="F31" s="10">
        <f>Feed!F18</f>
        <v/>
      </c>
      <c r="G31" s="10">
        <f>Feed!G18</f>
        <v/>
      </c>
      <c r="H31" s="10">
        <f>Feed!H18</f>
        <v/>
      </c>
      <c r="I31" s="10">
        <f>Feed!I18</f>
        <v/>
      </c>
      <c r="J31" s="10">
        <f>Feed!J18</f>
        <v/>
      </c>
      <c r="K31" s="10">
        <f>Feed!K18</f>
        <v/>
      </c>
      <c r="L31" s="10">
        <f>Feed!L18</f>
        <v/>
      </c>
      <c r="M31" s="10">
        <f>Feed!M18</f>
        <v/>
      </c>
      <c r="N31" s="10">
        <f>Feed!N18</f>
        <v/>
      </c>
      <c r="O31" s="10">
        <f>Feed!O18</f>
        <v/>
      </c>
      <c r="P31" s="10">
        <f>Feed!P18</f>
        <v/>
      </c>
      <c r="Q31" s="10">
        <f>Feed!Q18</f>
        <v/>
      </c>
      <c r="R31" s="10">
        <f>Feed!R18</f>
        <v/>
      </c>
      <c r="S31" s="10">
        <f>Feed!S18</f>
        <v/>
      </c>
      <c r="T31" s="10">
        <f>Feed!T18</f>
        <v/>
      </c>
      <c r="U31" s="10">
        <f>Feed!U18</f>
        <v/>
      </c>
      <c r="V31" s="10">
        <f>Feed!V18</f>
        <v/>
      </c>
      <c r="W31" s="10">
        <f>Feed!W18</f>
        <v/>
      </c>
      <c r="X31" s="10">
        <f>Feed!X18</f>
        <v/>
      </c>
      <c r="Y31" s="10">
        <f>Feed!Y18</f>
        <v/>
      </c>
      <c r="Z31" s="10">
        <f>Feed!Z18</f>
        <v/>
      </c>
      <c r="AA31" s="10">
        <f>Feed!AA18</f>
        <v/>
      </c>
      <c r="AB31" s="10">
        <f>Feed!AB18</f>
        <v/>
      </c>
      <c r="AC31" s="10">
        <f>Feed!AC18</f>
        <v/>
      </c>
      <c r="AD31" s="10">
        <f>Feed!AD18</f>
        <v/>
      </c>
      <c r="AE31" s="10">
        <f>Feed!AE18</f>
        <v/>
      </c>
      <c r="AF31" s="10">
        <f>Feed!AF18</f>
        <v/>
      </c>
      <c r="AG31" s="10">
        <f>Feed!AG18</f>
        <v/>
      </c>
      <c r="AH31" s="10">
        <f>Feed!AH18</f>
        <v/>
      </c>
      <c r="AI31" s="10">
        <f>Feed!AI18</f>
        <v/>
      </c>
      <c r="AJ31" s="10">
        <f>Feed!AJ18</f>
        <v/>
      </c>
      <c r="AK31" s="10">
        <f>Feed!AK18</f>
        <v/>
      </c>
      <c r="AL31" s="10">
        <f>Feed!AL18</f>
        <v/>
      </c>
      <c r="AM31" s="10">
        <f>Feed!AM18</f>
        <v/>
      </c>
      <c r="AN31" s="10">
        <f>Feed!AN18</f>
        <v/>
      </c>
      <c r="AO31" s="10">
        <f>Feed!AO18</f>
        <v/>
      </c>
      <c r="AP31" s="10">
        <f>Feed!AP18</f>
        <v/>
      </c>
      <c r="AQ31" s="10">
        <f>Feed!AQ18</f>
        <v/>
      </c>
      <c r="AR31" s="10">
        <f>Feed!AR18</f>
        <v/>
      </c>
      <c r="AS31" s="10">
        <f>Feed!AS18</f>
        <v/>
      </c>
      <c r="AT31" s="10">
        <f>Feed!AT18</f>
        <v/>
      </c>
      <c r="AU31" s="10">
        <f>Feed!AU18</f>
        <v/>
      </c>
      <c r="AV31" s="10">
        <f>Feed!AV18</f>
        <v/>
      </c>
      <c r="AW31" s="10">
        <f>Feed!AW18</f>
        <v/>
      </c>
      <c r="AX31" s="10">
        <f>Feed!AX18</f>
        <v/>
      </c>
      <c r="AY31" s="10">
        <f>Feed!AY18</f>
        <v/>
      </c>
      <c r="AZ31" s="10">
        <f>Feed!AZ18</f>
        <v/>
      </c>
      <c r="BA31" s="10">
        <f>Feed!BA18</f>
        <v/>
      </c>
      <c r="BB31" s="10">
        <f>Feed!BB18</f>
        <v/>
      </c>
      <c r="BC31" s="10">
        <f>Feed!BC18</f>
        <v/>
      </c>
      <c r="BD31" s="10">
        <f>Feed!BD18</f>
        <v/>
      </c>
      <c r="BE31" s="10">
        <f>Feed!BE18</f>
        <v/>
      </c>
      <c r="BF31" s="10">
        <f>Feed!BF18</f>
        <v/>
      </c>
      <c r="BG31" s="10">
        <f>Feed!BG18</f>
        <v/>
      </c>
      <c r="BH31" s="10">
        <f>Feed!BH18</f>
        <v/>
      </c>
      <c r="BI31" s="10">
        <f>Feed!BI18</f>
        <v/>
      </c>
      <c r="BJ31" s="10">
        <f>Feed!BJ18</f>
        <v/>
      </c>
      <c r="BK31" s="10">
        <f>Feed!BK18</f>
        <v/>
      </c>
      <c r="BL31" s="10">
        <f>Feed!BL18</f>
        <v/>
      </c>
      <c r="BM31" s="10">
        <f>Feed!BM18</f>
        <v/>
      </c>
      <c r="BN31" s="10">
        <f>Feed!BN18</f>
        <v/>
      </c>
      <c r="BO31" s="10">
        <f>Feed!BO18</f>
        <v/>
      </c>
      <c r="BP31" s="10">
        <f>Feed!BP18</f>
        <v/>
      </c>
      <c r="BQ31" s="10">
        <f>Feed!BQ18</f>
        <v/>
      </c>
      <c r="BR31" s="10">
        <f>Feed!BR18</f>
        <v/>
      </c>
      <c r="BS31" s="10">
        <f>Feed!BS18</f>
        <v/>
      </c>
      <c r="BT31" s="10">
        <f>Feed!BT18</f>
        <v/>
      </c>
      <c r="BU31" s="10">
        <f>Feed!BU18</f>
        <v/>
      </c>
      <c r="BV31" s="10">
        <f>Feed!BV18</f>
        <v/>
      </c>
      <c r="BW31" s="10">
        <f>Feed!BW18</f>
        <v/>
      </c>
      <c r="BX31" s="10">
        <f>Feed!BX18</f>
        <v/>
      </c>
      <c r="BY31" s="10">
        <f>Feed!BY18</f>
        <v/>
      </c>
      <c r="BZ31" s="10">
        <f>Feed!BZ18</f>
        <v/>
      </c>
      <c r="CA31" s="10">
        <f>Feed!CA18</f>
        <v/>
      </c>
      <c r="CB31" s="10">
        <f>Feed!CB18</f>
        <v/>
      </c>
      <c r="CC31" s="10">
        <f>Feed!CC18</f>
        <v/>
      </c>
      <c r="CD31" s="10">
        <f>Feed!CD18</f>
        <v/>
      </c>
      <c r="CE31" s="10">
        <f>Feed!CE18</f>
        <v/>
      </c>
      <c r="CF31" s="10">
        <f>Feed!CF18</f>
        <v/>
      </c>
      <c r="CG31" s="10">
        <f>Feed!CG18</f>
        <v/>
      </c>
      <c r="CH31" s="10">
        <f>Feed!CH18</f>
        <v/>
      </c>
      <c r="CI31" s="10">
        <f>Feed!CI18</f>
        <v/>
      </c>
      <c r="CJ31" s="10">
        <f>Feed!CJ18</f>
        <v/>
      </c>
      <c r="CK31" s="10">
        <f>Feed!CK18</f>
        <v/>
      </c>
      <c r="CL31" s="10">
        <f>Feed!CL18</f>
        <v/>
      </c>
      <c r="CM31" s="10">
        <f>Feed!CM18</f>
        <v/>
      </c>
      <c r="CN31" s="10">
        <f>Feed!CN18</f>
        <v/>
      </c>
      <c r="CO31" s="10">
        <f>Feed!CO18</f>
        <v/>
      </c>
      <c r="CP31" s="10">
        <f>Feed!CP18</f>
        <v/>
      </c>
      <c r="CQ31" s="10">
        <f>Feed!CQ18</f>
        <v/>
      </c>
      <c r="CR31" s="10">
        <f>Feed!CR18</f>
        <v/>
      </c>
      <c r="CS31" s="10">
        <f>Feed!CS18</f>
        <v/>
      </c>
      <c r="CT31" s="10">
        <f>Feed!CT18</f>
        <v/>
      </c>
      <c r="CU31" s="10">
        <f>Feed!CU18</f>
        <v/>
      </c>
      <c r="CV31" s="10">
        <f>Feed!CV18</f>
        <v/>
      </c>
      <c r="CW31" s="10">
        <f>Feed!CW18</f>
        <v/>
      </c>
      <c r="CX31" s="10">
        <f>Feed!CX18</f>
        <v/>
      </c>
      <c r="CY31" s="10">
        <f>Feed!CY18</f>
        <v/>
      </c>
      <c r="CZ31" s="10">
        <f>Feed!CZ18</f>
        <v/>
      </c>
      <c r="DA31" s="10">
        <f>Feed!DA18</f>
        <v/>
      </c>
      <c r="DB31" s="10">
        <f>Feed!DB18</f>
        <v/>
      </c>
      <c r="DC31" s="10">
        <f>Feed!DC18</f>
        <v/>
      </c>
      <c r="DD31" s="10">
        <f>Feed!DD18</f>
        <v/>
      </c>
      <c r="DE31" s="10">
        <f>Feed!DE18</f>
        <v/>
      </c>
      <c r="DF31" s="10">
        <f>Feed!DF18</f>
        <v/>
      </c>
      <c r="DG31" s="10">
        <f>Feed!DG18</f>
        <v/>
      </c>
      <c r="DH31" s="10">
        <f>Feed!DH18</f>
        <v/>
      </c>
      <c r="DI31" s="10">
        <f>Feed!DI18</f>
        <v/>
      </c>
      <c r="DJ31" s="10">
        <f>Feed!DJ18</f>
        <v/>
      </c>
      <c r="DK31" s="10">
        <f>Feed!DK18</f>
        <v/>
      </c>
      <c r="DL31" s="10">
        <f>Feed!DL18</f>
        <v/>
      </c>
      <c r="DM31" s="10">
        <f>Feed!DM18</f>
        <v/>
      </c>
      <c r="DN31" s="10">
        <f>Feed!DN18</f>
        <v/>
      </c>
      <c r="DO31" s="10">
        <f>Feed!DO18</f>
        <v/>
      </c>
      <c r="DP31" s="10">
        <f>Feed!DP18</f>
        <v/>
      </c>
      <c r="DQ31" s="10">
        <f>Feed!DQ18</f>
        <v/>
      </c>
      <c r="DR31" s="10">
        <f>Feed!DR18</f>
        <v/>
      </c>
      <c r="DS31" s="10">
        <f>Feed!DS18</f>
        <v/>
      </c>
    </row>
    <row r="32">
      <c r="A32" s="2" t="inlineStr">
        <is>
          <t>CF_CONS</t>
        </is>
      </c>
      <c r="B32" s="6" t="inlineStr">
        <is>
          <t>Hay/silage conservation</t>
        </is>
      </c>
      <c r="C32" s="2" t="inlineStr">
        <is>
          <t>RWF</t>
        </is>
      </c>
      <c r="D32" s="10">
        <f>Feed!D19</f>
        <v/>
      </c>
      <c r="E32" s="10">
        <f>Feed!E19</f>
        <v/>
      </c>
      <c r="F32" s="10">
        <f>Feed!F19</f>
        <v/>
      </c>
      <c r="G32" s="10">
        <f>Feed!G19</f>
        <v/>
      </c>
      <c r="H32" s="10">
        <f>Feed!H19</f>
        <v/>
      </c>
      <c r="I32" s="10">
        <f>Feed!I19</f>
        <v/>
      </c>
      <c r="J32" s="10">
        <f>Feed!J19</f>
        <v/>
      </c>
      <c r="K32" s="10">
        <f>Feed!K19</f>
        <v/>
      </c>
      <c r="L32" s="10">
        <f>Feed!L19</f>
        <v/>
      </c>
      <c r="M32" s="10">
        <f>Feed!M19</f>
        <v/>
      </c>
      <c r="N32" s="10">
        <f>Feed!N19</f>
        <v/>
      </c>
      <c r="O32" s="10">
        <f>Feed!O19</f>
        <v/>
      </c>
      <c r="P32" s="10">
        <f>Feed!P19</f>
        <v/>
      </c>
      <c r="Q32" s="10">
        <f>Feed!Q19</f>
        <v/>
      </c>
      <c r="R32" s="10">
        <f>Feed!R19</f>
        <v/>
      </c>
      <c r="S32" s="10">
        <f>Feed!S19</f>
        <v/>
      </c>
      <c r="T32" s="10">
        <f>Feed!T19</f>
        <v/>
      </c>
      <c r="U32" s="10">
        <f>Feed!U19</f>
        <v/>
      </c>
      <c r="V32" s="10">
        <f>Feed!V19</f>
        <v/>
      </c>
      <c r="W32" s="10">
        <f>Feed!W19</f>
        <v/>
      </c>
      <c r="X32" s="10">
        <f>Feed!X19</f>
        <v/>
      </c>
      <c r="Y32" s="10">
        <f>Feed!Y19</f>
        <v/>
      </c>
      <c r="Z32" s="10">
        <f>Feed!Z19</f>
        <v/>
      </c>
      <c r="AA32" s="10">
        <f>Feed!AA19</f>
        <v/>
      </c>
      <c r="AB32" s="10">
        <f>Feed!AB19</f>
        <v/>
      </c>
      <c r="AC32" s="10">
        <f>Feed!AC19</f>
        <v/>
      </c>
      <c r="AD32" s="10">
        <f>Feed!AD19</f>
        <v/>
      </c>
      <c r="AE32" s="10">
        <f>Feed!AE19</f>
        <v/>
      </c>
      <c r="AF32" s="10">
        <f>Feed!AF19</f>
        <v/>
      </c>
      <c r="AG32" s="10">
        <f>Feed!AG19</f>
        <v/>
      </c>
      <c r="AH32" s="10">
        <f>Feed!AH19</f>
        <v/>
      </c>
      <c r="AI32" s="10">
        <f>Feed!AI19</f>
        <v/>
      </c>
      <c r="AJ32" s="10">
        <f>Feed!AJ19</f>
        <v/>
      </c>
      <c r="AK32" s="10">
        <f>Feed!AK19</f>
        <v/>
      </c>
      <c r="AL32" s="10">
        <f>Feed!AL19</f>
        <v/>
      </c>
      <c r="AM32" s="10">
        <f>Feed!AM19</f>
        <v/>
      </c>
      <c r="AN32" s="10">
        <f>Feed!AN19</f>
        <v/>
      </c>
      <c r="AO32" s="10">
        <f>Feed!AO19</f>
        <v/>
      </c>
      <c r="AP32" s="10">
        <f>Feed!AP19</f>
        <v/>
      </c>
      <c r="AQ32" s="10">
        <f>Feed!AQ19</f>
        <v/>
      </c>
      <c r="AR32" s="10">
        <f>Feed!AR19</f>
        <v/>
      </c>
      <c r="AS32" s="10">
        <f>Feed!AS19</f>
        <v/>
      </c>
      <c r="AT32" s="10">
        <f>Feed!AT19</f>
        <v/>
      </c>
      <c r="AU32" s="10">
        <f>Feed!AU19</f>
        <v/>
      </c>
      <c r="AV32" s="10">
        <f>Feed!AV19</f>
        <v/>
      </c>
      <c r="AW32" s="10">
        <f>Feed!AW19</f>
        <v/>
      </c>
      <c r="AX32" s="10">
        <f>Feed!AX19</f>
        <v/>
      </c>
      <c r="AY32" s="10">
        <f>Feed!AY19</f>
        <v/>
      </c>
      <c r="AZ32" s="10">
        <f>Feed!AZ19</f>
        <v/>
      </c>
      <c r="BA32" s="10">
        <f>Feed!BA19</f>
        <v/>
      </c>
      <c r="BB32" s="10">
        <f>Feed!BB19</f>
        <v/>
      </c>
      <c r="BC32" s="10">
        <f>Feed!BC19</f>
        <v/>
      </c>
      <c r="BD32" s="10">
        <f>Feed!BD19</f>
        <v/>
      </c>
      <c r="BE32" s="10">
        <f>Feed!BE19</f>
        <v/>
      </c>
      <c r="BF32" s="10">
        <f>Feed!BF19</f>
        <v/>
      </c>
      <c r="BG32" s="10">
        <f>Feed!BG19</f>
        <v/>
      </c>
      <c r="BH32" s="10">
        <f>Feed!BH19</f>
        <v/>
      </c>
      <c r="BI32" s="10">
        <f>Feed!BI19</f>
        <v/>
      </c>
      <c r="BJ32" s="10">
        <f>Feed!BJ19</f>
        <v/>
      </c>
      <c r="BK32" s="10">
        <f>Feed!BK19</f>
        <v/>
      </c>
      <c r="BL32" s="10">
        <f>Feed!BL19</f>
        <v/>
      </c>
      <c r="BM32" s="10">
        <f>Feed!BM19</f>
        <v/>
      </c>
      <c r="BN32" s="10">
        <f>Feed!BN19</f>
        <v/>
      </c>
      <c r="BO32" s="10">
        <f>Feed!BO19</f>
        <v/>
      </c>
      <c r="BP32" s="10">
        <f>Feed!BP19</f>
        <v/>
      </c>
      <c r="BQ32" s="10">
        <f>Feed!BQ19</f>
        <v/>
      </c>
      <c r="BR32" s="10">
        <f>Feed!BR19</f>
        <v/>
      </c>
      <c r="BS32" s="10">
        <f>Feed!BS19</f>
        <v/>
      </c>
      <c r="BT32" s="10">
        <f>Feed!BT19</f>
        <v/>
      </c>
      <c r="BU32" s="10">
        <f>Feed!BU19</f>
        <v/>
      </c>
      <c r="BV32" s="10">
        <f>Feed!BV19</f>
        <v/>
      </c>
      <c r="BW32" s="10">
        <f>Feed!BW19</f>
        <v/>
      </c>
      <c r="BX32" s="10">
        <f>Feed!BX19</f>
        <v/>
      </c>
      <c r="BY32" s="10">
        <f>Feed!BY19</f>
        <v/>
      </c>
      <c r="BZ32" s="10">
        <f>Feed!BZ19</f>
        <v/>
      </c>
      <c r="CA32" s="10">
        <f>Feed!CA19</f>
        <v/>
      </c>
      <c r="CB32" s="10">
        <f>Feed!CB19</f>
        <v/>
      </c>
      <c r="CC32" s="10">
        <f>Feed!CC19</f>
        <v/>
      </c>
      <c r="CD32" s="10">
        <f>Feed!CD19</f>
        <v/>
      </c>
      <c r="CE32" s="10">
        <f>Feed!CE19</f>
        <v/>
      </c>
      <c r="CF32" s="10">
        <f>Feed!CF19</f>
        <v/>
      </c>
      <c r="CG32" s="10">
        <f>Feed!CG19</f>
        <v/>
      </c>
      <c r="CH32" s="10">
        <f>Feed!CH19</f>
        <v/>
      </c>
      <c r="CI32" s="10">
        <f>Feed!CI19</f>
        <v/>
      </c>
      <c r="CJ32" s="10">
        <f>Feed!CJ19</f>
        <v/>
      </c>
      <c r="CK32" s="10">
        <f>Feed!CK19</f>
        <v/>
      </c>
      <c r="CL32" s="10">
        <f>Feed!CL19</f>
        <v/>
      </c>
      <c r="CM32" s="10">
        <f>Feed!CM19</f>
        <v/>
      </c>
      <c r="CN32" s="10">
        <f>Feed!CN19</f>
        <v/>
      </c>
      <c r="CO32" s="10">
        <f>Feed!CO19</f>
        <v/>
      </c>
      <c r="CP32" s="10">
        <f>Feed!CP19</f>
        <v/>
      </c>
      <c r="CQ32" s="10">
        <f>Feed!CQ19</f>
        <v/>
      </c>
      <c r="CR32" s="10">
        <f>Feed!CR19</f>
        <v/>
      </c>
      <c r="CS32" s="10">
        <f>Feed!CS19</f>
        <v/>
      </c>
      <c r="CT32" s="10">
        <f>Feed!CT19</f>
        <v/>
      </c>
      <c r="CU32" s="10">
        <f>Feed!CU19</f>
        <v/>
      </c>
      <c r="CV32" s="10">
        <f>Feed!CV19</f>
        <v/>
      </c>
      <c r="CW32" s="10">
        <f>Feed!CW19</f>
        <v/>
      </c>
      <c r="CX32" s="10">
        <f>Feed!CX19</f>
        <v/>
      </c>
      <c r="CY32" s="10">
        <f>Feed!CY19</f>
        <v/>
      </c>
      <c r="CZ32" s="10">
        <f>Feed!CZ19</f>
        <v/>
      </c>
      <c r="DA32" s="10">
        <f>Feed!DA19</f>
        <v/>
      </c>
      <c r="DB32" s="10">
        <f>Feed!DB19</f>
        <v/>
      </c>
      <c r="DC32" s="10">
        <f>Feed!DC19</f>
        <v/>
      </c>
      <c r="DD32" s="10">
        <f>Feed!DD19</f>
        <v/>
      </c>
      <c r="DE32" s="10">
        <f>Feed!DE19</f>
        <v/>
      </c>
      <c r="DF32" s="10">
        <f>Feed!DF19</f>
        <v/>
      </c>
      <c r="DG32" s="10">
        <f>Feed!DG19</f>
        <v/>
      </c>
      <c r="DH32" s="10">
        <f>Feed!DH19</f>
        <v/>
      </c>
      <c r="DI32" s="10">
        <f>Feed!DI19</f>
        <v/>
      </c>
      <c r="DJ32" s="10">
        <f>Feed!DJ19</f>
        <v/>
      </c>
      <c r="DK32" s="10">
        <f>Feed!DK19</f>
        <v/>
      </c>
      <c r="DL32" s="10">
        <f>Feed!DL19</f>
        <v/>
      </c>
      <c r="DM32" s="10">
        <f>Feed!DM19</f>
        <v/>
      </c>
      <c r="DN32" s="10">
        <f>Feed!DN19</f>
        <v/>
      </c>
      <c r="DO32" s="10">
        <f>Feed!DO19</f>
        <v/>
      </c>
      <c r="DP32" s="10">
        <f>Feed!DP19</f>
        <v/>
      </c>
      <c r="DQ32" s="10">
        <f>Feed!DQ19</f>
        <v/>
      </c>
      <c r="DR32" s="10">
        <f>Feed!DR19</f>
        <v/>
      </c>
      <c r="DS32" s="10">
        <f>Feed!DS19</f>
        <v/>
      </c>
    </row>
    <row r="33">
      <c r="A33" s="2" t="inlineStr">
        <is>
          <t>CF_FERT</t>
        </is>
      </c>
      <c r="B33" s="6" t="inlineStr">
        <is>
          <t>Orchard inputs</t>
        </is>
      </c>
      <c r="C33" s="2" t="inlineStr">
        <is>
          <t>RWF</t>
        </is>
      </c>
      <c r="D33" s="25">
        <f>Land!$C$8*Assumptions!$H$41/12*IF(D$3&gt;=Control!$C$11,1,0)</f>
        <v/>
      </c>
      <c r="E33" s="25">
        <f>Land!$C$8*Assumptions!$H$41/12*IF(E$3&gt;=Control!$C$11,1,0)</f>
        <v/>
      </c>
      <c r="F33" s="25">
        <f>Land!$C$8*Assumptions!$H$41/12*IF(F$3&gt;=Control!$C$11,1,0)</f>
        <v/>
      </c>
      <c r="G33" s="25">
        <f>Land!$C$8*Assumptions!$H$41/12*IF(G$3&gt;=Control!$C$11,1,0)</f>
        <v/>
      </c>
      <c r="H33" s="25">
        <f>Land!$C$8*Assumptions!$H$41/12*IF(H$3&gt;=Control!$C$11,1,0)</f>
        <v/>
      </c>
      <c r="I33" s="25">
        <f>Land!$C$8*Assumptions!$H$41/12*IF(I$3&gt;=Control!$C$11,1,0)</f>
        <v/>
      </c>
      <c r="J33" s="25">
        <f>Land!$C$8*Assumptions!$H$41/12*IF(J$3&gt;=Control!$C$11,1,0)</f>
        <v/>
      </c>
      <c r="K33" s="25">
        <f>Land!$C$8*Assumptions!$H$41/12*IF(K$3&gt;=Control!$C$11,1,0)</f>
        <v/>
      </c>
      <c r="L33" s="25">
        <f>Land!$C$8*Assumptions!$H$41/12*IF(L$3&gt;=Control!$C$11,1,0)</f>
        <v/>
      </c>
      <c r="M33" s="25">
        <f>Land!$C$8*Assumptions!$H$41/12*IF(M$3&gt;=Control!$C$11,1,0)</f>
        <v/>
      </c>
      <c r="N33" s="25">
        <f>Land!$C$8*Assumptions!$H$41/12*IF(N$3&gt;=Control!$C$11,1,0)</f>
        <v/>
      </c>
      <c r="O33" s="25">
        <f>Land!$C$8*Assumptions!$H$41/12*IF(O$3&gt;=Control!$C$11,1,0)</f>
        <v/>
      </c>
      <c r="P33" s="25">
        <f>Land!$C$8*Assumptions!$H$41/12*IF(P$3&gt;=Control!$C$11,1,0)</f>
        <v/>
      </c>
      <c r="Q33" s="25">
        <f>Land!$C$8*Assumptions!$H$41/12*IF(Q$3&gt;=Control!$C$11,1,0)</f>
        <v/>
      </c>
      <c r="R33" s="25">
        <f>Land!$C$8*Assumptions!$H$41/12*IF(R$3&gt;=Control!$C$11,1,0)</f>
        <v/>
      </c>
      <c r="S33" s="25">
        <f>Land!$C$8*Assumptions!$H$41/12*IF(S$3&gt;=Control!$C$11,1,0)</f>
        <v/>
      </c>
      <c r="T33" s="25">
        <f>Land!$C$8*Assumptions!$H$41/12*IF(T$3&gt;=Control!$C$11,1,0)</f>
        <v/>
      </c>
      <c r="U33" s="25">
        <f>Land!$C$8*Assumptions!$H$41/12*IF(U$3&gt;=Control!$C$11,1,0)</f>
        <v/>
      </c>
      <c r="V33" s="25">
        <f>Land!$C$8*Assumptions!$H$41/12*IF(V$3&gt;=Control!$C$11,1,0)</f>
        <v/>
      </c>
      <c r="W33" s="25">
        <f>Land!$C$8*Assumptions!$H$41/12*IF(W$3&gt;=Control!$C$11,1,0)</f>
        <v/>
      </c>
      <c r="X33" s="25">
        <f>Land!$C$8*Assumptions!$H$41/12*IF(X$3&gt;=Control!$C$11,1,0)</f>
        <v/>
      </c>
      <c r="Y33" s="25">
        <f>Land!$C$8*Assumptions!$H$41/12*IF(Y$3&gt;=Control!$C$11,1,0)</f>
        <v/>
      </c>
      <c r="Z33" s="25">
        <f>Land!$C$8*Assumptions!$H$41/12*IF(Z$3&gt;=Control!$C$11,1,0)</f>
        <v/>
      </c>
      <c r="AA33" s="25">
        <f>Land!$C$8*Assumptions!$H$41/12*IF(AA$3&gt;=Control!$C$11,1,0)</f>
        <v/>
      </c>
      <c r="AB33" s="25">
        <f>Land!$C$8*Assumptions!$H$41/12*IF(AB$3&gt;=Control!$C$11,1,0)</f>
        <v/>
      </c>
      <c r="AC33" s="25">
        <f>Land!$C$8*Assumptions!$H$41/12*IF(AC$3&gt;=Control!$C$11,1,0)</f>
        <v/>
      </c>
      <c r="AD33" s="25">
        <f>Land!$C$8*Assumptions!$H$41/12*IF(AD$3&gt;=Control!$C$11,1,0)</f>
        <v/>
      </c>
      <c r="AE33" s="25">
        <f>Land!$C$8*Assumptions!$H$41/12*IF(AE$3&gt;=Control!$C$11,1,0)</f>
        <v/>
      </c>
      <c r="AF33" s="25">
        <f>Land!$C$8*Assumptions!$H$41/12*IF(AF$3&gt;=Control!$C$11,1,0)</f>
        <v/>
      </c>
      <c r="AG33" s="25">
        <f>Land!$C$8*Assumptions!$H$41/12*IF(AG$3&gt;=Control!$C$11,1,0)</f>
        <v/>
      </c>
      <c r="AH33" s="25">
        <f>Land!$C$8*Assumptions!$H$41/12*IF(AH$3&gt;=Control!$C$11,1,0)</f>
        <v/>
      </c>
      <c r="AI33" s="25">
        <f>Land!$C$8*Assumptions!$H$41/12*IF(AI$3&gt;=Control!$C$11,1,0)</f>
        <v/>
      </c>
      <c r="AJ33" s="25">
        <f>Land!$C$8*Assumptions!$H$41/12*IF(AJ$3&gt;=Control!$C$11,1,0)</f>
        <v/>
      </c>
      <c r="AK33" s="25">
        <f>Land!$C$8*Assumptions!$H$41/12*IF(AK$3&gt;=Control!$C$11,1,0)</f>
        <v/>
      </c>
      <c r="AL33" s="25">
        <f>Land!$C$8*Assumptions!$H$41/12*IF(AL$3&gt;=Control!$C$11,1,0)</f>
        <v/>
      </c>
      <c r="AM33" s="25">
        <f>Land!$C$8*Assumptions!$H$41/12*IF(AM$3&gt;=Control!$C$11,1,0)</f>
        <v/>
      </c>
      <c r="AN33" s="25">
        <f>Land!$C$8*Assumptions!$H$41/12*IF(AN$3&gt;=Control!$C$11,1,0)</f>
        <v/>
      </c>
      <c r="AO33" s="25">
        <f>Land!$C$8*Assumptions!$H$41/12*IF(AO$3&gt;=Control!$C$11,1,0)</f>
        <v/>
      </c>
      <c r="AP33" s="25">
        <f>Land!$C$8*Assumptions!$H$41/12*IF(AP$3&gt;=Control!$C$11,1,0)</f>
        <v/>
      </c>
      <c r="AQ33" s="25">
        <f>Land!$C$8*Assumptions!$H$41/12*IF(AQ$3&gt;=Control!$C$11,1,0)</f>
        <v/>
      </c>
      <c r="AR33" s="25">
        <f>Land!$C$8*Assumptions!$H$41/12*IF(AR$3&gt;=Control!$C$11,1,0)</f>
        <v/>
      </c>
      <c r="AS33" s="25">
        <f>Land!$C$8*Assumptions!$H$41/12*IF(AS$3&gt;=Control!$C$11,1,0)</f>
        <v/>
      </c>
      <c r="AT33" s="25">
        <f>Land!$C$8*Assumptions!$H$41/12*IF(AT$3&gt;=Control!$C$11,1,0)</f>
        <v/>
      </c>
      <c r="AU33" s="25">
        <f>Land!$C$8*Assumptions!$H$41/12*IF(AU$3&gt;=Control!$C$11,1,0)</f>
        <v/>
      </c>
      <c r="AV33" s="25">
        <f>Land!$C$8*Assumptions!$H$41/12*IF(AV$3&gt;=Control!$C$11,1,0)</f>
        <v/>
      </c>
      <c r="AW33" s="25">
        <f>Land!$C$8*Assumptions!$H$41/12*IF(AW$3&gt;=Control!$C$11,1,0)</f>
        <v/>
      </c>
      <c r="AX33" s="25">
        <f>Land!$C$8*Assumptions!$H$41/12*IF(AX$3&gt;=Control!$C$11,1,0)</f>
        <v/>
      </c>
      <c r="AY33" s="25">
        <f>Land!$C$8*Assumptions!$H$41/12*IF(AY$3&gt;=Control!$C$11,1,0)</f>
        <v/>
      </c>
      <c r="AZ33" s="25">
        <f>Land!$C$8*Assumptions!$H$41/12*IF(AZ$3&gt;=Control!$C$11,1,0)</f>
        <v/>
      </c>
      <c r="BA33" s="25">
        <f>Land!$C$8*Assumptions!$H$41/12*IF(BA$3&gt;=Control!$C$11,1,0)</f>
        <v/>
      </c>
      <c r="BB33" s="25">
        <f>Land!$C$8*Assumptions!$H$41/12*IF(BB$3&gt;=Control!$C$11,1,0)</f>
        <v/>
      </c>
      <c r="BC33" s="25">
        <f>Land!$C$8*Assumptions!$H$41/12*IF(BC$3&gt;=Control!$C$11,1,0)</f>
        <v/>
      </c>
      <c r="BD33" s="25">
        <f>Land!$C$8*Assumptions!$H$41/12*IF(BD$3&gt;=Control!$C$11,1,0)</f>
        <v/>
      </c>
      <c r="BE33" s="25">
        <f>Land!$C$8*Assumptions!$H$41/12*IF(BE$3&gt;=Control!$C$11,1,0)</f>
        <v/>
      </c>
      <c r="BF33" s="25">
        <f>Land!$C$8*Assumptions!$H$41/12*IF(BF$3&gt;=Control!$C$11,1,0)</f>
        <v/>
      </c>
      <c r="BG33" s="25">
        <f>Land!$C$8*Assumptions!$H$41/12*IF(BG$3&gt;=Control!$C$11,1,0)</f>
        <v/>
      </c>
      <c r="BH33" s="25">
        <f>Land!$C$8*Assumptions!$H$41/12*IF(BH$3&gt;=Control!$C$11,1,0)</f>
        <v/>
      </c>
      <c r="BI33" s="25">
        <f>Land!$C$8*Assumptions!$H$41/12*IF(BI$3&gt;=Control!$C$11,1,0)</f>
        <v/>
      </c>
      <c r="BJ33" s="25">
        <f>Land!$C$8*Assumptions!$H$41/12*IF(BJ$3&gt;=Control!$C$11,1,0)</f>
        <v/>
      </c>
      <c r="BK33" s="25">
        <f>Land!$C$8*Assumptions!$H$41/12*IF(BK$3&gt;=Control!$C$11,1,0)</f>
        <v/>
      </c>
      <c r="BL33" s="25">
        <f>Land!$C$8*Assumptions!$H$41/12*IF(BL$3&gt;=Control!$C$11,1,0)</f>
        <v/>
      </c>
      <c r="BM33" s="25">
        <f>Land!$C$8*Assumptions!$H$41/12*IF(BM$3&gt;=Control!$C$11,1,0)</f>
        <v/>
      </c>
      <c r="BN33" s="25">
        <f>Land!$C$8*Assumptions!$H$41/12*IF(BN$3&gt;=Control!$C$11,1,0)</f>
        <v/>
      </c>
      <c r="BO33" s="25">
        <f>Land!$C$8*Assumptions!$H$41/12*IF(BO$3&gt;=Control!$C$11,1,0)</f>
        <v/>
      </c>
      <c r="BP33" s="25">
        <f>Land!$C$8*Assumptions!$H$41/12*IF(BP$3&gt;=Control!$C$11,1,0)</f>
        <v/>
      </c>
      <c r="BQ33" s="25">
        <f>Land!$C$8*Assumptions!$H$41/12*IF(BQ$3&gt;=Control!$C$11,1,0)</f>
        <v/>
      </c>
      <c r="BR33" s="25">
        <f>Land!$C$8*Assumptions!$H$41/12*IF(BR$3&gt;=Control!$C$11,1,0)</f>
        <v/>
      </c>
      <c r="BS33" s="25">
        <f>Land!$C$8*Assumptions!$H$41/12*IF(BS$3&gt;=Control!$C$11,1,0)</f>
        <v/>
      </c>
      <c r="BT33" s="25">
        <f>Land!$C$8*Assumptions!$H$41/12*IF(BT$3&gt;=Control!$C$11,1,0)</f>
        <v/>
      </c>
      <c r="BU33" s="25">
        <f>Land!$C$8*Assumptions!$H$41/12*IF(BU$3&gt;=Control!$C$11,1,0)</f>
        <v/>
      </c>
      <c r="BV33" s="25">
        <f>Land!$C$8*Assumptions!$H$41/12*IF(BV$3&gt;=Control!$C$11,1,0)</f>
        <v/>
      </c>
      <c r="BW33" s="25">
        <f>Land!$C$8*Assumptions!$H$41/12*IF(BW$3&gt;=Control!$C$11,1,0)</f>
        <v/>
      </c>
      <c r="BX33" s="25">
        <f>Land!$C$8*Assumptions!$H$41/12*IF(BX$3&gt;=Control!$C$11,1,0)</f>
        <v/>
      </c>
      <c r="BY33" s="25">
        <f>Land!$C$8*Assumptions!$H$41/12*IF(BY$3&gt;=Control!$C$11,1,0)</f>
        <v/>
      </c>
      <c r="BZ33" s="25">
        <f>Land!$C$8*Assumptions!$H$41/12*IF(BZ$3&gt;=Control!$C$11,1,0)</f>
        <v/>
      </c>
      <c r="CA33" s="25">
        <f>Land!$C$8*Assumptions!$H$41/12*IF(CA$3&gt;=Control!$C$11,1,0)</f>
        <v/>
      </c>
      <c r="CB33" s="25">
        <f>Land!$C$8*Assumptions!$H$41/12*IF(CB$3&gt;=Control!$C$11,1,0)</f>
        <v/>
      </c>
      <c r="CC33" s="25">
        <f>Land!$C$8*Assumptions!$H$41/12*IF(CC$3&gt;=Control!$C$11,1,0)</f>
        <v/>
      </c>
      <c r="CD33" s="25">
        <f>Land!$C$8*Assumptions!$H$41/12*IF(CD$3&gt;=Control!$C$11,1,0)</f>
        <v/>
      </c>
      <c r="CE33" s="25">
        <f>Land!$C$8*Assumptions!$H$41/12*IF(CE$3&gt;=Control!$C$11,1,0)</f>
        <v/>
      </c>
      <c r="CF33" s="25">
        <f>Land!$C$8*Assumptions!$H$41/12*IF(CF$3&gt;=Control!$C$11,1,0)</f>
        <v/>
      </c>
      <c r="CG33" s="25">
        <f>Land!$C$8*Assumptions!$H$41/12*IF(CG$3&gt;=Control!$C$11,1,0)</f>
        <v/>
      </c>
      <c r="CH33" s="25">
        <f>Land!$C$8*Assumptions!$H$41/12*IF(CH$3&gt;=Control!$C$11,1,0)</f>
        <v/>
      </c>
      <c r="CI33" s="25">
        <f>Land!$C$8*Assumptions!$H$41/12*IF(CI$3&gt;=Control!$C$11,1,0)</f>
        <v/>
      </c>
      <c r="CJ33" s="25">
        <f>Land!$C$8*Assumptions!$H$41/12*IF(CJ$3&gt;=Control!$C$11,1,0)</f>
        <v/>
      </c>
      <c r="CK33" s="25">
        <f>Land!$C$8*Assumptions!$H$41/12*IF(CK$3&gt;=Control!$C$11,1,0)</f>
        <v/>
      </c>
      <c r="CL33" s="25">
        <f>Land!$C$8*Assumptions!$H$41/12*IF(CL$3&gt;=Control!$C$11,1,0)</f>
        <v/>
      </c>
      <c r="CM33" s="25">
        <f>Land!$C$8*Assumptions!$H$41/12*IF(CM$3&gt;=Control!$C$11,1,0)</f>
        <v/>
      </c>
      <c r="CN33" s="25">
        <f>Land!$C$8*Assumptions!$H$41/12*IF(CN$3&gt;=Control!$C$11,1,0)</f>
        <v/>
      </c>
      <c r="CO33" s="25">
        <f>Land!$C$8*Assumptions!$H$41/12*IF(CO$3&gt;=Control!$C$11,1,0)</f>
        <v/>
      </c>
      <c r="CP33" s="25">
        <f>Land!$C$8*Assumptions!$H$41/12*IF(CP$3&gt;=Control!$C$11,1,0)</f>
        <v/>
      </c>
      <c r="CQ33" s="25">
        <f>Land!$C$8*Assumptions!$H$41/12*IF(CQ$3&gt;=Control!$C$11,1,0)</f>
        <v/>
      </c>
      <c r="CR33" s="25">
        <f>Land!$C$8*Assumptions!$H$41/12*IF(CR$3&gt;=Control!$C$11,1,0)</f>
        <v/>
      </c>
      <c r="CS33" s="25">
        <f>Land!$C$8*Assumptions!$H$41/12*IF(CS$3&gt;=Control!$C$11,1,0)</f>
        <v/>
      </c>
      <c r="CT33" s="25">
        <f>Land!$C$8*Assumptions!$H$41/12*IF(CT$3&gt;=Control!$C$11,1,0)</f>
        <v/>
      </c>
      <c r="CU33" s="25">
        <f>Land!$C$8*Assumptions!$H$41/12*IF(CU$3&gt;=Control!$C$11,1,0)</f>
        <v/>
      </c>
      <c r="CV33" s="25">
        <f>Land!$C$8*Assumptions!$H$41/12*IF(CV$3&gt;=Control!$C$11,1,0)</f>
        <v/>
      </c>
      <c r="CW33" s="25">
        <f>Land!$C$8*Assumptions!$H$41/12*IF(CW$3&gt;=Control!$C$11,1,0)</f>
        <v/>
      </c>
      <c r="CX33" s="25">
        <f>Land!$C$8*Assumptions!$H$41/12*IF(CX$3&gt;=Control!$C$11,1,0)</f>
        <v/>
      </c>
      <c r="CY33" s="25">
        <f>Land!$C$8*Assumptions!$H$41/12*IF(CY$3&gt;=Control!$C$11,1,0)</f>
        <v/>
      </c>
      <c r="CZ33" s="25">
        <f>Land!$C$8*Assumptions!$H$41/12*IF(CZ$3&gt;=Control!$C$11,1,0)</f>
        <v/>
      </c>
      <c r="DA33" s="25">
        <f>Land!$C$8*Assumptions!$H$41/12*IF(DA$3&gt;=Control!$C$11,1,0)</f>
        <v/>
      </c>
      <c r="DB33" s="25">
        <f>Land!$C$8*Assumptions!$H$41/12*IF(DB$3&gt;=Control!$C$11,1,0)</f>
        <v/>
      </c>
      <c r="DC33" s="25">
        <f>Land!$C$8*Assumptions!$H$41/12*IF(DC$3&gt;=Control!$C$11,1,0)</f>
        <v/>
      </c>
      <c r="DD33" s="25">
        <f>Land!$C$8*Assumptions!$H$41/12*IF(DD$3&gt;=Control!$C$11,1,0)</f>
        <v/>
      </c>
      <c r="DE33" s="25">
        <f>Land!$C$8*Assumptions!$H$41/12*IF(DE$3&gt;=Control!$C$11,1,0)</f>
        <v/>
      </c>
      <c r="DF33" s="25">
        <f>Land!$C$8*Assumptions!$H$41/12*IF(DF$3&gt;=Control!$C$11,1,0)</f>
        <v/>
      </c>
      <c r="DG33" s="25">
        <f>Land!$C$8*Assumptions!$H$41/12*IF(DG$3&gt;=Control!$C$11,1,0)</f>
        <v/>
      </c>
      <c r="DH33" s="25">
        <f>Land!$C$8*Assumptions!$H$41/12*IF(DH$3&gt;=Control!$C$11,1,0)</f>
        <v/>
      </c>
      <c r="DI33" s="25">
        <f>Land!$C$8*Assumptions!$H$41/12*IF(DI$3&gt;=Control!$C$11,1,0)</f>
        <v/>
      </c>
      <c r="DJ33" s="25">
        <f>Land!$C$8*Assumptions!$H$41/12*IF(DJ$3&gt;=Control!$C$11,1,0)</f>
        <v/>
      </c>
      <c r="DK33" s="25">
        <f>Land!$C$8*Assumptions!$H$41/12*IF(DK$3&gt;=Control!$C$11,1,0)</f>
        <v/>
      </c>
      <c r="DL33" s="25">
        <f>Land!$C$8*Assumptions!$H$41/12*IF(DL$3&gt;=Control!$C$11,1,0)</f>
        <v/>
      </c>
      <c r="DM33" s="25">
        <f>Land!$C$8*Assumptions!$H$41/12*IF(DM$3&gt;=Control!$C$11,1,0)</f>
        <v/>
      </c>
      <c r="DN33" s="25">
        <f>Land!$C$8*Assumptions!$H$41/12*IF(DN$3&gt;=Control!$C$11,1,0)</f>
        <v/>
      </c>
      <c r="DO33" s="25">
        <f>Land!$C$8*Assumptions!$H$41/12*IF(DO$3&gt;=Control!$C$11,1,0)</f>
        <v/>
      </c>
      <c r="DP33" s="25">
        <f>Land!$C$8*Assumptions!$H$41/12*IF(DP$3&gt;=Control!$C$11,1,0)</f>
        <v/>
      </c>
      <c r="DQ33" s="25">
        <f>Land!$C$8*Assumptions!$H$41/12*IF(DQ$3&gt;=Control!$C$11,1,0)</f>
        <v/>
      </c>
      <c r="DR33" s="25">
        <f>Land!$C$8*Assumptions!$H$41/12*IF(DR$3&gt;=Control!$C$11,1,0)</f>
        <v/>
      </c>
      <c r="DS33" s="25">
        <f>Land!$C$8*Assumptions!$H$41/12*IF(DS$3&gt;=Control!$C$11,1,0)</f>
        <v/>
      </c>
    </row>
    <row r="34">
      <c r="A34" s="2" t="inlineStr">
        <is>
          <t>CF_PASTM</t>
        </is>
      </c>
      <c r="B34" s="6" t="inlineStr">
        <is>
          <t>Pasture and fodder upkeep</t>
        </is>
      </c>
      <c r="C34" s="2" t="inlineStr">
        <is>
          <t>RWF</t>
        </is>
      </c>
      <c r="D34" s="25">
        <f>(Land!$C$12+Land!$C$13)*Assumptions!$H$42/12*IF(D$3&gt;=Control!$C$12,1,0)</f>
        <v/>
      </c>
      <c r="E34" s="25">
        <f>(Land!$C$12+Land!$C$13)*Assumptions!$H$42/12*IF(E$3&gt;=Control!$C$12,1,0)</f>
        <v/>
      </c>
      <c r="F34" s="25">
        <f>(Land!$C$12+Land!$C$13)*Assumptions!$H$42/12*IF(F$3&gt;=Control!$C$12,1,0)</f>
        <v/>
      </c>
      <c r="G34" s="25">
        <f>(Land!$C$12+Land!$C$13)*Assumptions!$H$42/12*IF(G$3&gt;=Control!$C$12,1,0)</f>
        <v/>
      </c>
      <c r="H34" s="25">
        <f>(Land!$C$12+Land!$C$13)*Assumptions!$H$42/12*IF(H$3&gt;=Control!$C$12,1,0)</f>
        <v/>
      </c>
      <c r="I34" s="25">
        <f>(Land!$C$12+Land!$C$13)*Assumptions!$H$42/12*IF(I$3&gt;=Control!$C$12,1,0)</f>
        <v/>
      </c>
      <c r="J34" s="25">
        <f>(Land!$C$12+Land!$C$13)*Assumptions!$H$42/12*IF(J$3&gt;=Control!$C$12,1,0)</f>
        <v/>
      </c>
      <c r="K34" s="25">
        <f>(Land!$C$12+Land!$C$13)*Assumptions!$H$42/12*IF(K$3&gt;=Control!$C$12,1,0)</f>
        <v/>
      </c>
      <c r="L34" s="25">
        <f>(Land!$C$12+Land!$C$13)*Assumptions!$H$42/12*IF(L$3&gt;=Control!$C$12,1,0)</f>
        <v/>
      </c>
      <c r="M34" s="25">
        <f>(Land!$C$12+Land!$C$13)*Assumptions!$H$42/12*IF(M$3&gt;=Control!$C$12,1,0)</f>
        <v/>
      </c>
      <c r="N34" s="25">
        <f>(Land!$C$12+Land!$C$13)*Assumptions!$H$42/12*IF(N$3&gt;=Control!$C$12,1,0)</f>
        <v/>
      </c>
      <c r="O34" s="25">
        <f>(Land!$C$12+Land!$C$13)*Assumptions!$H$42/12*IF(O$3&gt;=Control!$C$12,1,0)</f>
        <v/>
      </c>
      <c r="P34" s="25">
        <f>(Land!$C$12+Land!$C$13)*Assumptions!$H$42/12*IF(P$3&gt;=Control!$C$12,1,0)</f>
        <v/>
      </c>
      <c r="Q34" s="25">
        <f>(Land!$C$12+Land!$C$13)*Assumptions!$H$42/12*IF(Q$3&gt;=Control!$C$12,1,0)</f>
        <v/>
      </c>
      <c r="R34" s="25">
        <f>(Land!$C$12+Land!$C$13)*Assumptions!$H$42/12*IF(R$3&gt;=Control!$C$12,1,0)</f>
        <v/>
      </c>
      <c r="S34" s="25">
        <f>(Land!$C$12+Land!$C$13)*Assumptions!$H$42/12*IF(S$3&gt;=Control!$C$12,1,0)</f>
        <v/>
      </c>
      <c r="T34" s="25">
        <f>(Land!$C$12+Land!$C$13)*Assumptions!$H$42/12*IF(T$3&gt;=Control!$C$12,1,0)</f>
        <v/>
      </c>
      <c r="U34" s="25">
        <f>(Land!$C$12+Land!$C$13)*Assumptions!$H$42/12*IF(U$3&gt;=Control!$C$12,1,0)</f>
        <v/>
      </c>
      <c r="V34" s="25">
        <f>(Land!$C$12+Land!$C$13)*Assumptions!$H$42/12*IF(V$3&gt;=Control!$C$12,1,0)</f>
        <v/>
      </c>
      <c r="W34" s="25">
        <f>(Land!$C$12+Land!$C$13)*Assumptions!$H$42/12*IF(W$3&gt;=Control!$C$12,1,0)</f>
        <v/>
      </c>
      <c r="X34" s="25">
        <f>(Land!$C$12+Land!$C$13)*Assumptions!$H$42/12*IF(X$3&gt;=Control!$C$12,1,0)</f>
        <v/>
      </c>
      <c r="Y34" s="25">
        <f>(Land!$C$12+Land!$C$13)*Assumptions!$H$42/12*IF(Y$3&gt;=Control!$C$12,1,0)</f>
        <v/>
      </c>
      <c r="Z34" s="25">
        <f>(Land!$C$12+Land!$C$13)*Assumptions!$H$42/12*IF(Z$3&gt;=Control!$C$12,1,0)</f>
        <v/>
      </c>
      <c r="AA34" s="25">
        <f>(Land!$C$12+Land!$C$13)*Assumptions!$H$42/12*IF(AA$3&gt;=Control!$C$12,1,0)</f>
        <v/>
      </c>
      <c r="AB34" s="25">
        <f>(Land!$C$12+Land!$C$13)*Assumptions!$H$42/12*IF(AB$3&gt;=Control!$C$12,1,0)</f>
        <v/>
      </c>
      <c r="AC34" s="25">
        <f>(Land!$C$12+Land!$C$13)*Assumptions!$H$42/12*IF(AC$3&gt;=Control!$C$12,1,0)</f>
        <v/>
      </c>
      <c r="AD34" s="25">
        <f>(Land!$C$12+Land!$C$13)*Assumptions!$H$42/12*IF(AD$3&gt;=Control!$C$12,1,0)</f>
        <v/>
      </c>
      <c r="AE34" s="25">
        <f>(Land!$C$12+Land!$C$13)*Assumptions!$H$42/12*IF(AE$3&gt;=Control!$C$12,1,0)</f>
        <v/>
      </c>
      <c r="AF34" s="25">
        <f>(Land!$C$12+Land!$C$13)*Assumptions!$H$42/12*IF(AF$3&gt;=Control!$C$12,1,0)</f>
        <v/>
      </c>
      <c r="AG34" s="25">
        <f>(Land!$C$12+Land!$C$13)*Assumptions!$H$42/12*IF(AG$3&gt;=Control!$C$12,1,0)</f>
        <v/>
      </c>
      <c r="AH34" s="25">
        <f>(Land!$C$12+Land!$C$13)*Assumptions!$H$42/12*IF(AH$3&gt;=Control!$C$12,1,0)</f>
        <v/>
      </c>
      <c r="AI34" s="25">
        <f>(Land!$C$12+Land!$C$13)*Assumptions!$H$42/12*IF(AI$3&gt;=Control!$C$12,1,0)</f>
        <v/>
      </c>
      <c r="AJ34" s="25">
        <f>(Land!$C$12+Land!$C$13)*Assumptions!$H$42/12*IF(AJ$3&gt;=Control!$C$12,1,0)</f>
        <v/>
      </c>
      <c r="AK34" s="25">
        <f>(Land!$C$12+Land!$C$13)*Assumptions!$H$42/12*IF(AK$3&gt;=Control!$C$12,1,0)</f>
        <v/>
      </c>
      <c r="AL34" s="25">
        <f>(Land!$C$12+Land!$C$13)*Assumptions!$H$42/12*IF(AL$3&gt;=Control!$C$12,1,0)</f>
        <v/>
      </c>
      <c r="AM34" s="25">
        <f>(Land!$C$12+Land!$C$13)*Assumptions!$H$42/12*IF(AM$3&gt;=Control!$C$12,1,0)</f>
        <v/>
      </c>
      <c r="AN34" s="25">
        <f>(Land!$C$12+Land!$C$13)*Assumptions!$H$42/12*IF(AN$3&gt;=Control!$C$12,1,0)</f>
        <v/>
      </c>
      <c r="AO34" s="25">
        <f>(Land!$C$12+Land!$C$13)*Assumptions!$H$42/12*IF(AO$3&gt;=Control!$C$12,1,0)</f>
        <v/>
      </c>
      <c r="AP34" s="25">
        <f>(Land!$C$12+Land!$C$13)*Assumptions!$H$42/12*IF(AP$3&gt;=Control!$C$12,1,0)</f>
        <v/>
      </c>
      <c r="AQ34" s="25">
        <f>(Land!$C$12+Land!$C$13)*Assumptions!$H$42/12*IF(AQ$3&gt;=Control!$C$12,1,0)</f>
        <v/>
      </c>
      <c r="AR34" s="25">
        <f>(Land!$C$12+Land!$C$13)*Assumptions!$H$42/12*IF(AR$3&gt;=Control!$C$12,1,0)</f>
        <v/>
      </c>
      <c r="AS34" s="25">
        <f>(Land!$C$12+Land!$C$13)*Assumptions!$H$42/12*IF(AS$3&gt;=Control!$C$12,1,0)</f>
        <v/>
      </c>
      <c r="AT34" s="25">
        <f>(Land!$C$12+Land!$C$13)*Assumptions!$H$42/12*IF(AT$3&gt;=Control!$C$12,1,0)</f>
        <v/>
      </c>
      <c r="AU34" s="25">
        <f>(Land!$C$12+Land!$C$13)*Assumptions!$H$42/12*IF(AU$3&gt;=Control!$C$12,1,0)</f>
        <v/>
      </c>
      <c r="AV34" s="25">
        <f>(Land!$C$12+Land!$C$13)*Assumptions!$H$42/12*IF(AV$3&gt;=Control!$C$12,1,0)</f>
        <v/>
      </c>
      <c r="AW34" s="25">
        <f>(Land!$C$12+Land!$C$13)*Assumptions!$H$42/12*IF(AW$3&gt;=Control!$C$12,1,0)</f>
        <v/>
      </c>
      <c r="AX34" s="25">
        <f>(Land!$C$12+Land!$C$13)*Assumptions!$H$42/12*IF(AX$3&gt;=Control!$C$12,1,0)</f>
        <v/>
      </c>
      <c r="AY34" s="25">
        <f>(Land!$C$12+Land!$C$13)*Assumptions!$H$42/12*IF(AY$3&gt;=Control!$C$12,1,0)</f>
        <v/>
      </c>
      <c r="AZ34" s="25">
        <f>(Land!$C$12+Land!$C$13)*Assumptions!$H$42/12*IF(AZ$3&gt;=Control!$C$12,1,0)</f>
        <v/>
      </c>
      <c r="BA34" s="25">
        <f>(Land!$C$12+Land!$C$13)*Assumptions!$H$42/12*IF(BA$3&gt;=Control!$C$12,1,0)</f>
        <v/>
      </c>
      <c r="BB34" s="25">
        <f>(Land!$C$12+Land!$C$13)*Assumptions!$H$42/12*IF(BB$3&gt;=Control!$C$12,1,0)</f>
        <v/>
      </c>
      <c r="BC34" s="25">
        <f>(Land!$C$12+Land!$C$13)*Assumptions!$H$42/12*IF(BC$3&gt;=Control!$C$12,1,0)</f>
        <v/>
      </c>
      <c r="BD34" s="25">
        <f>(Land!$C$12+Land!$C$13)*Assumptions!$H$42/12*IF(BD$3&gt;=Control!$C$12,1,0)</f>
        <v/>
      </c>
      <c r="BE34" s="25">
        <f>(Land!$C$12+Land!$C$13)*Assumptions!$H$42/12*IF(BE$3&gt;=Control!$C$12,1,0)</f>
        <v/>
      </c>
      <c r="BF34" s="25">
        <f>(Land!$C$12+Land!$C$13)*Assumptions!$H$42/12*IF(BF$3&gt;=Control!$C$12,1,0)</f>
        <v/>
      </c>
      <c r="BG34" s="25">
        <f>(Land!$C$12+Land!$C$13)*Assumptions!$H$42/12*IF(BG$3&gt;=Control!$C$12,1,0)</f>
        <v/>
      </c>
      <c r="BH34" s="25">
        <f>(Land!$C$12+Land!$C$13)*Assumptions!$H$42/12*IF(BH$3&gt;=Control!$C$12,1,0)</f>
        <v/>
      </c>
      <c r="BI34" s="25">
        <f>(Land!$C$12+Land!$C$13)*Assumptions!$H$42/12*IF(BI$3&gt;=Control!$C$12,1,0)</f>
        <v/>
      </c>
      <c r="BJ34" s="25">
        <f>(Land!$C$12+Land!$C$13)*Assumptions!$H$42/12*IF(BJ$3&gt;=Control!$C$12,1,0)</f>
        <v/>
      </c>
      <c r="BK34" s="25">
        <f>(Land!$C$12+Land!$C$13)*Assumptions!$H$42/12*IF(BK$3&gt;=Control!$C$12,1,0)</f>
        <v/>
      </c>
      <c r="BL34" s="25">
        <f>(Land!$C$12+Land!$C$13)*Assumptions!$H$42/12*IF(BL$3&gt;=Control!$C$12,1,0)</f>
        <v/>
      </c>
      <c r="BM34" s="25">
        <f>(Land!$C$12+Land!$C$13)*Assumptions!$H$42/12*IF(BM$3&gt;=Control!$C$12,1,0)</f>
        <v/>
      </c>
      <c r="BN34" s="25">
        <f>(Land!$C$12+Land!$C$13)*Assumptions!$H$42/12*IF(BN$3&gt;=Control!$C$12,1,0)</f>
        <v/>
      </c>
      <c r="BO34" s="25">
        <f>(Land!$C$12+Land!$C$13)*Assumptions!$H$42/12*IF(BO$3&gt;=Control!$C$12,1,0)</f>
        <v/>
      </c>
      <c r="BP34" s="25">
        <f>(Land!$C$12+Land!$C$13)*Assumptions!$H$42/12*IF(BP$3&gt;=Control!$C$12,1,0)</f>
        <v/>
      </c>
      <c r="BQ34" s="25">
        <f>(Land!$C$12+Land!$C$13)*Assumptions!$H$42/12*IF(BQ$3&gt;=Control!$C$12,1,0)</f>
        <v/>
      </c>
      <c r="BR34" s="25">
        <f>(Land!$C$12+Land!$C$13)*Assumptions!$H$42/12*IF(BR$3&gt;=Control!$C$12,1,0)</f>
        <v/>
      </c>
      <c r="BS34" s="25">
        <f>(Land!$C$12+Land!$C$13)*Assumptions!$H$42/12*IF(BS$3&gt;=Control!$C$12,1,0)</f>
        <v/>
      </c>
      <c r="BT34" s="25">
        <f>(Land!$C$12+Land!$C$13)*Assumptions!$H$42/12*IF(BT$3&gt;=Control!$C$12,1,0)</f>
        <v/>
      </c>
      <c r="BU34" s="25">
        <f>(Land!$C$12+Land!$C$13)*Assumptions!$H$42/12*IF(BU$3&gt;=Control!$C$12,1,0)</f>
        <v/>
      </c>
      <c r="BV34" s="25">
        <f>(Land!$C$12+Land!$C$13)*Assumptions!$H$42/12*IF(BV$3&gt;=Control!$C$12,1,0)</f>
        <v/>
      </c>
      <c r="BW34" s="25">
        <f>(Land!$C$12+Land!$C$13)*Assumptions!$H$42/12*IF(BW$3&gt;=Control!$C$12,1,0)</f>
        <v/>
      </c>
      <c r="BX34" s="25">
        <f>(Land!$C$12+Land!$C$13)*Assumptions!$H$42/12*IF(BX$3&gt;=Control!$C$12,1,0)</f>
        <v/>
      </c>
      <c r="BY34" s="25">
        <f>(Land!$C$12+Land!$C$13)*Assumptions!$H$42/12*IF(BY$3&gt;=Control!$C$12,1,0)</f>
        <v/>
      </c>
      <c r="BZ34" s="25">
        <f>(Land!$C$12+Land!$C$13)*Assumptions!$H$42/12*IF(BZ$3&gt;=Control!$C$12,1,0)</f>
        <v/>
      </c>
      <c r="CA34" s="25">
        <f>(Land!$C$12+Land!$C$13)*Assumptions!$H$42/12*IF(CA$3&gt;=Control!$C$12,1,0)</f>
        <v/>
      </c>
      <c r="CB34" s="25">
        <f>(Land!$C$12+Land!$C$13)*Assumptions!$H$42/12*IF(CB$3&gt;=Control!$C$12,1,0)</f>
        <v/>
      </c>
      <c r="CC34" s="25">
        <f>(Land!$C$12+Land!$C$13)*Assumptions!$H$42/12*IF(CC$3&gt;=Control!$C$12,1,0)</f>
        <v/>
      </c>
      <c r="CD34" s="25">
        <f>(Land!$C$12+Land!$C$13)*Assumptions!$H$42/12*IF(CD$3&gt;=Control!$C$12,1,0)</f>
        <v/>
      </c>
      <c r="CE34" s="25">
        <f>(Land!$C$12+Land!$C$13)*Assumptions!$H$42/12*IF(CE$3&gt;=Control!$C$12,1,0)</f>
        <v/>
      </c>
      <c r="CF34" s="25">
        <f>(Land!$C$12+Land!$C$13)*Assumptions!$H$42/12*IF(CF$3&gt;=Control!$C$12,1,0)</f>
        <v/>
      </c>
      <c r="CG34" s="25">
        <f>(Land!$C$12+Land!$C$13)*Assumptions!$H$42/12*IF(CG$3&gt;=Control!$C$12,1,0)</f>
        <v/>
      </c>
      <c r="CH34" s="25">
        <f>(Land!$C$12+Land!$C$13)*Assumptions!$H$42/12*IF(CH$3&gt;=Control!$C$12,1,0)</f>
        <v/>
      </c>
      <c r="CI34" s="25">
        <f>(Land!$C$12+Land!$C$13)*Assumptions!$H$42/12*IF(CI$3&gt;=Control!$C$12,1,0)</f>
        <v/>
      </c>
      <c r="CJ34" s="25">
        <f>(Land!$C$12+Land!$C$13)*Assumptions!$H$42/12*IF(CJ$3&gt;=Control!$C$12,1,0)</f>
        <v/>
      </c>
      <c r="CK34" s="25">
        <f>(Land!$C$12+Land!$C$13)*Assumptions!$H$42/12*IF(CK$3&gt;=Control!$C$12,1,0)</f>
        <v/>
      </c>
      <c r="CL34" s="25">
        <f>(Land!$C$12+Land!$C$13)*Assumptions!$H$42/12*IF(CL$3&gt;=Control!$C$12,1,0)</f>
        <v/>
      </c>
      <c r="CM34" s="25">
        <f>(Land!$C$12+Land!$C$13)*Assumptions!$H$42/12*IF(CM$3&gt;=Control!$C$12,1,0)</f>
        <v/>
      </c>
      <c r="CN34" s="25">
        <f>(Land!$C$12+Land!$C$13)*Assumptions!$H$42/12*IF(CN$3&gt;=Control!$C$12,1,0)</f>
        <v/>
      </c>
      <c r="CO34" s="25">
        <f>(Land!$C$12+Land!$C$13)*Assumptions!$H$42/12*IF(CO$3&gt;=Control!$C$12,1,0)</f>
        <v/>
      </c>
      <c r="CP34" s="25">
        <f>(Land!$C$12+Land!$C$13)*Assumptions!$H$42/12*IF(CP$3&gt;=Control!$C$12,1,0)</f>
        <v/>
      </c>
      <c r="CQ34" s="25">
        <f>(Land!$C$12+Land!$C$13)*Assumptions!$H$42/12*IF(CQ$3&gt;=Control!$C$12,1,0)</f>
        <v/>
      </c>
      <c r="CR34" s="25">
        <f>(Land!$C$12+Land!$C$13)*Assumptions!$H$42/12*IF(CR$3&gt;=Control!$C$12,1,0)</f>
        <v/>
      </c>
      <c r="CS34" s="25">
        <f>(Land!$C$12+Land!$C$13)*Assumptions!$H$42/12*IF(CS$3&gt;=Control!$C$12,1,0)</f>
        <v/>
      </c>
      <c r="CT34" s="25">
        <f>(Land!$C$12+Land!$C$13)*Assumptions!$H$42/12*IF(CT$3&gt;=Control!$C$12,1,0)</f>
        <v/>
      </c>
      <c r="CU34" s="25">
        <f>(Land!$C$12+Land!$C$13)*Assumptions!$H$42/12*IF(CU$3&gt;=Control!$C$12,1,0)</f>
        <v/>
      </c>
      <c r="CV34" s="25">
        <f>(Land!$C$12+Land!$C$13)*Assumptions!$H$42/12*IF(CV$3&gt;=Control!$C$12,1,0)</f>
        <v/>
      </c>
      <c r="CW34" s="25">
        <f>(Land!$C$12+Land!$C$13)*Assumptions!$H$42/12*IF(CW$3&gt;=Control!$C$12,1,0)</f>
        <v/>
      </c>
      <c r="CX34" s="25">
        <f>(Land!$C$12+Land!$C$13)*Assumptions!$H$42/12*IF(CX$3&gt;=Control!$C$12,1,0)</f>
        <v/>
      </c>
      <c r="CY34" s="25">
        <f>(Land!$C$12+Land!$C$13)*Assumptions!$H$42/12*IF(CY$3&gt;=Control!$C$12,1,0)</f>
        <v/>
      </c>
      <c r="CZ34" s="25">
        <f>(Land!$C$12+Land!$C$13)*Assumptions!$H$42/12*IF(CZ$3&gt;=Control!$C$12,1,0)</f>
        <v/>
      </c>
      <c r="DA34" s="25">
        <f>(Land!$C$12+Land!$C$13)*Assumptions!$H$42/12*IF(DA$3&gt;=Control!$C$12,1,0)</f>
        <v/>
      </c>
      <c r="DB34" s="25">
        <f>(Land!$C$12+Land!$C$13)*Assumptions!$H$42/12*IF(DB$3&gt;=Control!$C$12,1,0)</f>
        <v/>
      </c>
      <c r="DC34" s="25">
        <f>(Land!$C$12+Land!$C$13)*Assumptions!$H$42/12*IF(DC$3&gt;=Control!$C$12,1,0)</f>
        <v/>
      </c>
      <c r="DD34" s="25">
        <f>(Land!$C$12+Land!$C$13)*Assumptions!$H$42/12*IF(DD$3&gt;=Control!$C$12,1,0)</f>
        <v/>
      </c>
      <c r="DE34" s="25">
        <f>(Land!$C$12+Land!$C$13)*Assumptions!$H$42/12*IF(DE$3&gt;=Control!$C$12,1,0)</f>
        <v/>
      </c>
      <c r="DF34" s="25">
        <f>(Land!$C$12+Land!$C$13)*Assumptions!$H$42/12*IF(DF$3&gt;=Control!$C$12,1,0)</f>
        <v/>
      </c>
      <c r="DG34" s="25">
        <f>(Land!$C$12+Land!$C$13)*Assumptions!$H$42/12*IF(DG$3&gt;=Control!$C$12,1,0)</f>
        <v/>
      </c>
      <c r="DH34" s="25">
        <f>(Land!$C$12+Land!$C$13)*Assumptions!$H$42/12*IF(DH$3&gt;=Control!$C$12,1,0)</f>
        <v/>
      </c>
      <c r="DI34" s="25">
        <f>(Land!$C$12+Land!$C$13)*Assumptions!$H$42/12*IF(DI$3&gt;=Control!$C$12,1,0)</f>
        <v/>
      </c>
      <c r="DJ34" s="25">
        <f>(Land!$C$12+Land!$C$13)*Assumptions!$H$42/12*IF(DJ$3&gt;=Control!$C$12,1,0)</f>
        <v/>
      </c>
      <c r="DK34" s="25">
        <f>(Land!$C$12+Land!$C$13)*Assumptions!$H$42/12*IF(DK$3&gt;=Control!$C$12,1,0)</f>
        <v/>
      </c>
      <c r="DL34" s="25">
        <f>(Land!$C$12+Land!$C$13)*Assumptions!$H$42/12*IF(DL$3&gt;=Control!$C$12,1,0)</f>
        <v/>
      </c>
      <c r="DM34" s="25">
        <f>(Land!$C$12+Land!$C$13)*Assumptions!$H$42/12*IF(DM$3&gt;=Control!$C$12,1,0)</f>
        <v/>
      </c>
      <c r="DN34" s="25">
        <f>(Land!$C$12+Land!$C$13)*Assumptions!$H$42/12*IF(DN$3&gt;=Control!$C$12,1,0)</f>
        <v/>
      </c>
      <c r="DO34" s="25">
        <f>(Land!$C$12+Land!$C$13)*Assumptions!$H$42/12*IF(DO$3&gt;=Control!$C$12,1,0)</f>
        <v/>
      </c>
      <c r="DP34" s="25">
        <f>(Land!$C$12+Land!$C$13)*Assumptions!$H$42/12*IF(DP$3&gt;=Control!$C$12,1,0)</f>
        <v/>
      </c>
      <c r="DQ34" s="25">
        <f>(Land!$C$12+Land!$C$13)*Assumptions!$H$42/12*IF(DQ$3&gt;=Control!$C$12,1,0)</f>
        <v/>
      </c>
      <c r="DR34" s="25">
        <f>(Land!$C$12+Land!$C$13)*Assumptions!$H$42/12*IF(DR$3&gt;=Control!$C$12,1,0)</f>
        <v/>
      </c>
      <c r="DS34" s="25">
        <f>(Land!$C$12+Land!$C$13)*Assumptions!$H$42/12*IF(DS$3&gt;=Control!$C$12,1,0)</f>
        <v/>
      </c>
    </row>
    <row r="35">
      <c r="A35" s="2" t="inlineStr">
        <is>
          <t>CF_REPL</t>
        </is>
      </c>
      <c r="B35" s="6" t="inlineStr">
        <is>
          <t>Replanting short-cycle crops</t>
        </is>
      </c>
      <c r="C35" s="2" t="inlineStr">
        <is>
          <t>RWF</t>
        </is>
      </c>
      <c r="D35" s="25">
        <f>IF(D$3=Control!$C$11+12*(D$4-1),INDEX(Trees!$D$101:$M$101,1,D$4),0)</f>
        <v/>
      </c>
      <c r="E35" s="25">
        <f>IF(E$3=Control!$C$11+12*(E$4-1),INDEX(Trees!$D$101:$M$101,1,E$4),0)</f>
        <v/>
      </c>
      <c r="F35" s="25">
        <f>IF(F$3=Control!$C$11+12*(F$4-1),INDEX(Trees!$D$101:$M$101,1,F$4),0)</f>
        <v/>
      </c>
      <c r="G35" s="25">
        <f>IF(G$3=Control!$C$11+12*(G$4-1),INDEX(Trees!$D$101:$M$101,1,G$4),0)</f>
        <v/>
      </c>
      <c r="H35" s="25">
        <f>IF(H$3=Control!$C$11+12*(H$4-1),INDEX(Trees!$D$101:$M$101,1,H$4),0)</f>
        <v/>
      </c>
      <c r="I35" s="25">
        <f>IF(I$3=Control!$C$11+12*(I$4-1),INDEX(Trees!$D$101:$M$101,1,I$4),0)</f>
        <v/>
      </c>
      <c r="J35" s="25">
        <f>IF(J$3=Control!$C$11+12*(J$4-1),INDEX(Trees!$D$101:$M$101,1,J$4),0)</f>
        <v/>
      </c>
      <c r="K35" s="25">
        <f>IF(K$3=Control!$C$11+12*(K$4-1),INDEX(Trees!$D$101:$M$101,1,K$4),0)</f>
        <v/>
      </c>
      <c r="L35" s="25">
        <f>IF(L$3=Control!$C$11+12*(L$4-1),INDEX(Trees!$D$101:$M$101,1,L$4),0)</f>
        <v/>
      </c>
      <c r="M35" s="25">
        <f>IF(M$3=Control!$C$11+12*(M$4-1),INDEX(Trees!$D$101:$M$101,1,M$4),0)</f>
        <v/>
      </c>
      <c r="N35" s="25">
        <f>IF(N$3=Control!$C$11+12*(N$4-1),INDEX(Trees!$D$101:$M$101,1,N$4),0)</f>
        <v/>
      </c>
      <c r="O35" s="25">
        <f>IF(O$3=Control!$C$11+12*(O$4-1),INDEX(Trees!$D$101:$M$101,1,O$4),0)</f>
        <v/>
      </c>
      <c r="P35" s="25">
        <f>IF(P$3=Control!$C$11+12*(P$4-1),INDEX(Trees!$D$101:$M$101,1,P$4),0)</f>
        <v/>
      </c>
      <c r="Q35" s="25">
        <f>IF(Q$3=Control!$C$11+12*(Q$4-1),INDEX(Trees!$D$101:$M$101,1,Q$4),0)</f>
        <v/>
      </c>
      <c r="R35" s="25">
        <f>IF(R$3=Control!$C$11+12*(R$4-1),INDEX(Trees!$D$101:$M$101,1,R$4),0)</f>
        <v/>
      </c>
      <c r="S35" s="25">
        <f>IF(S$3=Control!$C$11+12*(S$4-1),INDEX(Trees!$D$101:$M$101,1,S$4),0)</f>
        <v/>
      </c>
      <c r="T35" s="25">
        <f>IF(T$3=Control!$C$11+12*(T$4-1),INDEX(Trees!$D$101:$M$101,1,T$4),0)</f>
        <v/>
      </c>
      <c r="U35" s="25">
        <f>IF(U$3=Control!$C$11+12*(U$4-1),INDEX(Trees!$D$101:$M$101,1,U$4),0)</f>
        <v/>
      </c>
      <c r="V35" s="25">
        <f>IF(V$3=Control!$C$11+12*(V$4-1),INDEX(Trees!$D$101:$M$101,1,V$4),0)</f>
        <v/>
      </c>
      <c r="W35" s="25">
        <f>IF(W$3=Control!$C$11+12*(W$4-1),INDEX(Trees!$D$101:$M$101,1,W$4),0)</f>
        <v/>
      </c>
      <c r="X35" s="25">
        <f>IF(X$3=Control!$C$11+12*(X$4-1),INDEX(Trees!$D$101:$M$101,1,X$4),0)</f>
        <v/>
      </c>
      <c r="Y35" s="25">
        <f>IF(Y$3=Control!$C$11+12*(Y$4-1),INDEX(Trees!$D$101:$M$101,1,Y$4),0)</f>
        <v/>
      </c>
      <c r="Z35" s="25">
        <f>IF(Z$3=Control!$C$11+12*(Z$4-1),INDEX(Trees!$D$101:$M$101,1,Z$4),0)</f>
        <v/>
      </c>
      <c r="AA35" s="25">
        <f>IF(AA$3=Control!$C$11+12*(AA$4-1),INDEX(Trees!$D$101:$M$101,1,AA$4),0)</f>
        <v/>
      </c>
      <c r="AB35" s="25">
        <f>IF(AB$3=Control!$C$11+12*(AB$4-1),INDEX(Trees!$D$101:$M$101,1,AB$4),0)</f>
        <v/>
      </c>
      <c r="AC35" s="25">
        <f>IF(AC$3=Control!$C$11+12*(AC$4-1),INDEX(Trees!$D$101:$M$101,1,AC$4),0)</f>
        <v/>
      </c>
      <c r="AD35" s="25">
        <f>IF(AD$3=Control!$C$11+12*(AD$4-1),INDEX(Trees!$D$101:$M$101,1,AD$4),0)</f>
        <v/>
      </c>
      <c r="AE35" s="25">
        <f>IF(AE$3=Control!$C$11+12*(AE$4-1),INDEX(Trees!$D$101:$M$101,1,AE$4),0)</f>
        <v/>
      </c>
      <c r="AF35" s="25">
        <f>IF(AF$3=Control!$C$11+12*(AF$4-1),INDEX(Trees!$D$101:$M$101,1,AF$4),0)</f>
        <v/>
      </c>
      <c r="AG35" s="25">
        <f>IF(AG$3=Control!$C$11+12*(AG$4-1),INDEX(Trees!$D$101:$M$101,1,AG$4),0)</f>
        <v/>
      </c>
      <c r="AH35" s="25">
        <f>IF(AH$3=Control!$C$11+12*(AH$4-1),INDEX(Trees!$D$101:$M$101,1,AH$4),0)</f>
        <v/>
      </c>
      <c r="AI35" s="25">
        <f>IF(AI$3=Control!$C$11+12*(AI$4-1),INDEX(Trees!$D$101:$M$101,1,AI$4),0)</f>
        <v/>
      </c>
      <c r="AJ35" s="25">
        <f>IF(AJ$3=Control!$C$11+12*(AJ$4-1),INDEX(Trees!$D$101:$M$101,1,AJ$4),0)</f>
        <v/>
      </c>
      <c r="AK35" s="25">
        <f>IF(AK$3=Control!$C$11+12*(AK$4-1),INDEX(Trees!$D$101:$M$101,1,AK$4),0)</f>
        <v/>
      </c>
      <c r="AL35" s="25">
        <f>IF(AL$3=Control!$C$11+12*(AL$4-1),INDEX(Trees!$D$101:$M$101,1,AL$4),0)</f>
        <v/>
      </c>
      <c r="AM35" s="25">
        <f>IF(AM$3=Control!$C$11+12*(AM$4-1),INDEX(Trees!$D$101:$M$101,1,AM$4),0)</f>
        <v/>
      </c>
      <c r="AN35" s="25">
        <f>IF(AN$3=Control!$C$11+12*(AN$4-1),INDEX(Trees!$D$101:$M$101,1,AN$4),0)</f>
        <v/>
      </c>
      <c r="AO35" s="25">
        <f>IF(AO$3=Control!$C$11+12*(AO$4-1),INDEX(Trees!$D$101:$M$101,1,AO$4),0)</f>
        <v/>
      </c>
      <c r="AP35" s="25">
        <f>IF(AP$3=Control!$C$11+12*(AP$4-1),INDEX(Trees!$D$101:$M$101,1,AP$4),0)</f>
        <v/>
      </c>
      <c r="AQ35" s="25">
        <f>IF(AQ$3=Control!$C$11+12*(AQ$4-1),INDEX(Trees!$D$101:$M$101,1,AQ$4),0)</f>
        <v/>
      </c>
      <c r="AR35" s="25">
        <f>IF(AR$3=Control!$C$11+12*(AR$4-1),INDEX(Trees!$D$101:$M$101,1,AR$4),0)</f>
        <v/>
      </c>
      <c r="AS35" s="25">
        <f>IF(AS$3=Control!$C$11+12*(AS$4-1),INDEX(Trees!$D$101:$M$101,1,AS$4),0)</f>
        <v/>
      </c>
      <c r="AT35" s="25">
        <f>IF(AT$3=Control!$C$11+12*(AT$4-1),INDEX(Trees!$D$101:$M$101,1,AT$4),0)</f>
        <v/>
      </c>
      <c r="AU35" s="25">
        <f>IF(AU$3=Control!$C$11+12*(AU$4-1),INDEX(Trees!$D$101:$M$101,1,AU$4),0)</f>
        <v/>
      </c>
      <c r="AV35" s="25">
        <f>IF(AV$3=Control!$C$11+12*(AV$4-1),INDEX(Trees!$D$101:$M$101,1,AV$4),0)</f>
        <v/>
      </c>
      <c r="AW35" s="25">
        <f>IF(AW$3=Control!$C$11+12*(AW$4-1),INDEX(Trees!$D$101:$M$101,1,AW$4),0)</f>
        <v/>
      </c>
      <c r="AX35" s="25">
        <f>IF(AX$3=Control!$C$11+12*(AX$4-1),INDEX(Trees!$D$101:$M$101,1,AX$4),0)</f>
        <v/>
      </c>
      <c r="AY35" s="25">
        <f>IF(AY$3=Control!$C$11+12*(AY$4-1),INDEX(Trees!$D$101:$M$101,1,AY$4),0)</f>
        <v/>
      </c>
      <c r="AZ35" s="25">
        <f>IF(AZ$3=Control!$C$11+12*(AZ$4-1),INDEX(Trees!$D$101:$M$101,1,AZ$4),0)</f>
        <v/>
      </c>
      <c r="BA35" s="25">
        <f>IF(BA$3=Control!$C$11+12*(BA$4-1),INDEX(Trees!$D$101:$M$101,1,BA$4),0)</f>
        <v/>
      </c>
      <c r="BB35" s="25">
        <f>IF(BB$3=Control!$C$11+12*(BB$4-1),INDEX(Trees!$D$101:$M$101,1,BB$4),0)</f>
        <v/>
      </c>
      <c r="BC35" s="25">
        <f>IF(BC$3=Control!$C$11+12*(BC$4-1),INDEX(Trees!$D$101:$M$101,1,BC$4),0)</f>
        <v/>
      </c>
      <c r="BD35" s="25">
        <f>IF(BD$3=Control!$C$11+12*(BD$4-1),INDEX(Trees!$D$101:$M$101,1,BD$4),0)</f>
        <v/>
      </c>
      <c r="BE35" s="25">
        <f>IF(BE$3=Control!$C$11+12*(BE$4-1),INDEX(Trees!$D$101:$M$101,1,BE$4),0)</f>
        <v/>
      </c>
      <c r="BF35" s="25">
        <f>IF(BF$3=Control!$C$11+12*(BF$4-1),INDEX(Trees!$D$101:$M$101,1,BF$4),0)</f>
        <v/>
      </c>
      <c r="BG35" s="25">
        <f>IF(BG$3=Control!$C$11+12*(BG$4-1),INDEX(Trees!$D$101:$M$101,1,BG$4),0)</f>
        <v/>
      </c>
      <c r="BH35" s="25">
        <f>IF(BH$3=Control!$C$11+12*(BH$4-1),INDEX(Trees!$D$101:$M$101,1,BH$4),0)</f>
        <v/>
      </c>
      <c r="BI35" s="25">
        <f>IF(BI$3=Control!$C$11+12*(BI$4-1),INDEX(Trees!$D$101:$M$101,1,BI$4),0)</f>
        <v/>
      </c>
      <c r="BJ35" s="25">
        <f>IF(BJ$3=Control!$C$11+12*(BJ$4-1),INDEX(Trees!$D$101:$M$101,1,BJ$4),0)</f>
        <v/>
      </c>
      <c r="BK35" s="25">
        <f>IF(BK$3=Control!$C$11+12*(BK$4-1),INDEX(Trees!$D$101:$M$101,1,BK$4),0)</f>
        <v/>
      </c>
      <c r="BL35" s="25">
        <f>IF(BL$3=Control!$C$11+12*(BL$4-1),INDEX(Trees!$D$101:$M$101,1,BL$4),0)</f>
        <v/>
      </c>
      <c r="BM35" s="25">
        <f>IF(BM$3=Control!$C$11+12*(BM$4-1),INDEX(Trees!$D$101:$M$101,1,BM$4),0)</f>
        <v/>
      </c>
      <c r="BN35" s="25">
        <f>IF(BN$3=Control!$C$11+12*(BN$4-1),INDEX(Trees!$D$101:$M$101,1,BN$4),0)</f>
        <v/>
      </c>
      <c r="BO35" s="25">
        <f>IF(BO$3=Control!$C$11+12*(BO$4-1),INDEX(Trees!$D$101:$M$101,1,BO$4),0)</f>
        <v/>
      </c>
      <c r="BP35" s="25">
        <f>IF(BP$3=Control!$C$11+12*(BP$4-1),INDEX(Trees!$D$101:$M$101,1,BP$4),0)</f>
        <v/>
      </c>
      <c r="BQ35" s="25">
        <f>IF(BQ$3=Control!$C$11+12*(BQ$4-1),INDEX(Trees!$D$101:$M$101,1,BQ$4),0)</f>
        <v/>
      </c>
      <c r="BR35" s="25">
        <f>IF(BR$3=Control!$C$11+12*(BR$4-1),INDEX(Trees!$D$101:$M$101,1,BR$4),0)</f>
        <v/>
      </c>
      <c r="BS35" s="25">
        <f>IF(BS$3=Control!$C$11+12*(BS$4-1),INDEX(Trees!$D$101:$M$101,1,BS$4),0)</f>
        <v/>
      </c>
      <c r="BT35" s="25">
        <f>IF(BT$3=Control!$C$11+12*(BT$4-1),INDEX(Trees!$D$101:$M$101,1,BT$4),0)</f>
        <v/>
      </c>
      <c r="BU35" s="25">
        <f>IF(BU$3=Control!$C$11+12*(BU$4-1),INDEX(Trees!$D$101:$M$101,1,BU$4),0)</f>
        <v/>
      </c>
      <c r="BV35" s="25">
        <f>IF(BV$3=Control!$C$11+12*(BV$4-1),INDEX(Trees!$D$101:$M$101,1,BV$4),0)</f>
        <v/>
      </c>
      <c r="BW35" s="25">
        <f>IF(BW$3=Control!$C$11+12*(BW$4-1),INDEX(Trees!$D$101:$M$101,1,BW$4),0)</f>
        <v/>
      </c>
      <c r="BX35" s="25">
        <f>IF(BX$3=Control!$C$11+12*(BX$4-1),INDEX(Trees!$D$101:$M$101,1,BX$4),0)</f>
        <v/>
      </c>
      <c r="BY35" s="25">
        <f>IF(BY$3=Control!$C$11+12*(BY$4-1),INDEX(Trees!$D$101:$M$101,1,BY$4),0)</f>
        <v/>
      </c>
      <c r="BZ35" s="25">
        <f>IF(BZ$3=Control!$C$11+12*(BZ$4-1),INDEX(Trees!$D$101:$M$101,1,BZ$4),0)</f>
        <v/>
      </c>
      <c r="CA35" s="25">
        <f>IF(CA$3=Control!$C$11+12*(CA$4-1),INDEX(Trees!$D$101:$M$101,1,CA$4),0)</f>
        <v/>
      </c>
      <c r="CB35" s="25">
        <f>IF(CB$3=Control!$C$11+12*(CB$4-1),INDEX(Trees!$D$101:$M$101,1,CB$4),0)</f>
        <v/>
      </c>
      <c r="CC35" s="25">
        <f>IF(CC$3=Control!$C$11+12*(CC$4-1),INDEX(Trees!$D$101:$M$101,1,CC$4),0)</f>
        <v/>
      </c>
      <c r="CD35" s="25">
        <f>IF(CD$3=Control!$C$11+12*(CD$4-1),INDEX(Trees!$D$101:$M$101,1,CD$4),0)</f>
        <v/>
      </c>
      <c r="CE35" s="25">
        <f>IF(CE$3=Control!$C$11+12*(CE$4-1),INDEX(Trees!$D$101:$M$101,1,CE$4),0)</f>
        <v/>
      </c>
      <c r="CF35" s="25">
        <f>IF(CF$3=Control!$C$11+12*(CF$4-1),INDEX(Trees!$D$101:$M$101,1,CF$4),0)</f>
        <v/>
      </c>
      <c r="CG35" s="25">
        <f>IF(CG$3=Control!$C$11+12*(CG$4-1),INDEX(Trees!$D$101:$M$101,1,CG$4),0)</f>
        <v/>
      </c>
      <c r="CH35" s="25">
        <f>IF(CH$3=Control!$C$11+12*(CH$4-1),INDEX(Trees!$D$101:$M$101,1,CH$4),0)</f>
        <v/>
      </c>
      <c r="CI35" s="25">
        <f>IF(CI$3=Control!$C$11+12*(CI$4-1),INDEX(Trees!$D$101:$M$101,1,CI$4),0)</f>
        <v/>
      </c>
      <c r="CJ35" s="25">
        <f>IF(CJ$3=Control!$C$11+12*(CJ$4-1),INDEX(Trees!$D$101:$M$101,1,CJ$4),0)</f>
        <v/>
      </c>
      <c r="CK35" s="25">
        <f>IF(CK$3=Control!$C$11+12*(CK$4-1),INDEX(Trees!$D$101:$M$101,1,CK$4),0)</f>
        <v/>
      </c>
      <c r="CL35" s="25">
        <f>IF(CL$3=Control!$C$11+12*(CL$4-1),INDEX(Trees!$D$101:$M$101,1,CL$4),0)</f>
        <v/>
      </c>
      <c r="CM35" s="25">
        <f>IF(CM$3=Control!$C$11+12*(CM$4-1),INDEX(Trees!$D$101:$M$101,1,CM$4),0)</f>
        <v/>
      </c>
      <c r="CN35" s="25">
        <f>IF(CN$3=Control!$C$11+12*(CN$4-1),INDEX(Trees!$D$101:$M$101,1,CN$4),0)</f>
        <v/>
      </c>
      <c r="CO35" s="25">
        <f>IF(CO$3=Control!$C$11+12*(CO$4-1),INDEX(Trees!$D$101:$M$101,1,CO$4),0)</f>
        <v/>
      </c>
      <c r="CP35" s="25">
        <f>IF(CP$3=Control!$C$11+12*(CP$4-1),INDEX(Trees!$D$101:$M$101,1,CP$4),0)</f>
        <v/>
      </c>
      <c r="CQ35" s="25">
        <f>IF(CQ$3=Control!$C$11+12*(CQ$4-1),INDEX(Trees!$D$101:$M$101,1,CQ$4),0)</f>
        <v/>
      </c>
      <c r="CR35" s="25">
        <f>IF(CR$3=Control!$C$11+12*(CR$4-1),INDEX(Trees!$D$101:$M$101,1,CR$4),0)</f>
        <v/>
      </c>
      <c r="CS35" s="25">
        <f>IF(CS$3=Control!$C$11+12*(CS$4-1),INDEX(Trees!$D$101:$M$101,1,CS$4),0)</f>
        <v/>
      </c>
      <c r="CT35" s="25">
        <f>IF(CT$3=Control!$C$11+12*(CT$4-1),INDEX(Trees!$D$101:$M$101,1,CT$4),0)</f>
        <v/>
      </c>
      <c r="CU35" s="25">
        <f>IF(CU$3=Control!$C$11+12*(CU$4-1),INDEX(Trees!$D$101:$M$101,1,CU$4),0)</f>
        <v/>
      </c>
      <c r="CV35" s="25">
        <f>IF(CV$3=Control!$C$11+12*(CV$4-1),INDEX(Trees!$D$101:$M$101,1,CV$4),0)</f>
        <v/>
      </c>
      <c r="CW35" s="25">
        <f>IF(CW$3=Control!$C$11+12*(CW$4-1),INDEX(Trees!$D$101:$M$101,1,CW$4),0)</f>
        <v/>
      </c>
      <c r="CX35" s="25">
        <f>IF(CX$3=Control!$C$11+12*(CX$4-1),INDEX(Trees!$D$101:$M$101,1,CX$4),0)</f>
        <v/>
      </c>
      <c r="CY35" s="25">
        <f>IF(CY$3=Control!$C$11+12*(CY$4-1),INDEX(Trees!$D$101:$M$101,1,CY$4),0)</f>
        <v/>
      </c>
      <c r="CZ35" s="25">
        <f>IF(CZ$3=Control!$C$11+12*(CZ$4-1),INDEX(Trees!$D$101:$M$101,1,CZ$4),0)</f>
        <v/>
      </c>
      <c r="DA35" s="25">
        <f>IF(DA$3=Control!$C$11+12*(DA$4-1),INDEX(Trees!$D$101:$M$101,1,DA$4),0)</f>
        <v/>
      </c>
      <c r="DB35" s="25">
        <f>IF(DB$3=Control!$C$11+12*(DB$4-1),INDEX(Trees!$D$101:$M$101,1,DB$4),0)</f>
        <v/>
      </c>
      <c r="DC35" s="25">
        <f>IF(DC$3=Control!$C$11+12*(DC$4-1),INDEX(Trees!$D$101:$M$101,1,DC$4),0)</f>
        <v/>
      </c>
      <c r="DD35" s="25">
        <f>IF(DD$3=Control!$C$11+12*(DD$4-1),INDEX(Trees!$D$101:$M$101,1,DD$4),0)</f>
        <v/>
      </c>
      <c r="DE35" s="25">
        <f>IF(DE$3=Control!$C$11+12*(DE$4-1),INDEX(Trees!$D$101:$M$101,1,DE$4),0)</f>
        <v/>
      </c>
      <c r="DF35" s="25">
        <f>IF(DF$3=Control!$C$11+12*(DF$4-1),INDEX(Trees!$D$101:$M$101,1,DF$4),0)</f>
        <v/>
      </c>
      <c r="DG35" s="25">
        <f>IF(DG$3=Control!$C$11+12*(DG$4-1),INDEX(Trees!$D$101:$M$101,1,DG$4),0)</f>
        <v/>
      </c>
      <c r="DH35" s="25">
        <f>IF(DH$3=Control!$C$11+12*(DH$4-1),INDEX(Trees!$D$101:$M$101,1,DH$4),0)</f>
        <v/>
      </c>
      <c r="DI35" s="25">
        <f>IF(DI$3=Control!$C$11+12*(DI$4-1),INDEX(Trees!$D$101:$M$101,1,DI$4),0)</f>
        <v/>
      </c>
      <c r="DJ35" s="25">
        <f>IF(DJ$3=Control!$C$11+12*(DJ$4-1),INDEX(Trees!$D$101:$M$101,1,DJ$4),0)</f>
        <v/>
      </c>
      <c r="DK35" s="25">
        <f>IF(DK$3=Control!$C$11+12*(DK$4-1),INDEX(Trees!$D$101:$M$101,1,DK$4),0)</f>
        <v/>
      </c>
      <c r="DL35" s="25">
        <f>IF(DL$3=Control!$C$11+12*(DL$4-1),INDEX(Trees!$D$101:$M$101,1,DL$4),0)</f>
        <v/>
      </c>
      <c r="DM35" s="25">
        <f>IF(DM$3=Control!$C$11+12*(DM$4-1),INDEX(Trees!$D$101:$M$101,1,DM$4),0)</f>
        <v/>
      </c>
      <c r="DN35" s="25">
        <f>IF(DN$3=Control!$C$11+12*(DN$4-1),INDEX(Trees!$D$101:$M$101,1,DN$4),0)</f>
        <v/>
      </c>
      <c r="DO35" s="25">
        <f>IF(DO$3=Control!$C$11+12*(DO$4-1),INDEX(Trees!$D$101:$M$101,1,DO$4),0)</f>
        <v/>
      </c>
      <c r="DP35" s="25">
        <f>IF(DP$3=Control!$C$11+12*(DP$4-1),INDEX(Trees!$D$101:$M$101,1,DP$4),0)</f>
        <v/>
      </c>
      <c r="DQ35" s="25">
        <f>IF(DQ$3=Control!$C$11+12*(DQ$4-1),INDEX(Trees!$D$101:$M$101,1,DQ$4),0)</f>
        <v/>
      </c>
      <c r="DR35" s="25">
        <f>IF(DR$3=Control!$C$11+12*(DR$4-1),INDEX(Trees!$D$101:$M$101,1,DR$4),0)</f>
        <v/>
      </c>
      <c r="DS35" s="25">
        <f>IF(DS$3=Control!$C$11+12*(DS$4-1),INDEX(Trees!$D$101:$M$101,1,DS$4),0)</f>
        <v/>
      </c>
    </row>
    <row r="36">
      <c r="A36" s="2" t="inlineStr">
        <is>
          <t>CF_TRANSF</t>
        </is>
      </c>
      <c r="B36" s="6" t="inlineStr">
        <is>
          <t>Transport: fruit</t>
        </is>
      </c>
      <c r="C36" s="2" t="inlineStr">
        <is>
          <t>RWF</t>
        </is>
      </c>
      <c r="D36" s="25">
        <f>D22*Assumptions!$H$43*Sensitivity!$C$12</f>
        <v/>
      </c>
      <c r="E36" s="25">
        <f>E22*Assumptions!$H$43*Sensitivity!$C$12</f>
        <v/>
      </c>
      <c r="F36" s="25">
        <f>F22*Assumptions!$H$43*Sensitivity!$C$12</f>
        <v/>
      </c>
      <c r="G36" s="25">
        <f>G22*Assumptions!$H$43*Sensitivity!$C$12</f>
        <v/>
      </c>
      <c r="H36" s="25">
        <f>H22*Assumptions!$H$43*Sensitivity!$C$12</f>
        <v/>
      </c>
      <c r="I36" s="25">
        <f>I22*Assumptions!$H$43*Sensitivity!$C$12</f>
        <v/>
      </c>
      <c r="J36" s="25">
        <f>J22*Assumptions!$H$43*Sensitivity!$C$12</f>
        <v/>
      </c>
      <c r="K36" s="25">
        <f>K22*Assumptions!$H$43*Sensitivity!$C$12</f>
        <v/>
      </c>
      <c r="L36" s="25">
        <f>L22*Assumptions!$H$43*Sensitivity!$C$12</f>
        <v/>
      </c>
      <c r="M36" s="25">
        <f>M22*Assumptions!$H$43*Sensitivity!$C$12</f>
        <v/>
      </c>
      <c r="N36" s="25">
        <f>N22*Assumptions!$H$43*Sensitivity!$C$12</f>
        <v/>
      </c>
      <c r="O36" s="25">
        <f>O22*Assumptions!$H$43*Sensitivity!$C$12</f>
        <v/>
      </c>
      <c r="P36" s="25">
        <f>P22*Assumptions!$H$43*Sensitivity!$C$12</f>
        <v/>
      </c>
      <c r="Q36" s="25">
        <f>Q22*Assumptions!$H$43*Sensitivity!$C$12</f>
        <v/>
      </c>
      <c r="R36" s="25">
        <f>R22*Assumptions!$H$43*Sensitivity!$C$12</f>
        <v/>
      </c>
      <c r="S36" s="25">
        <f>S22*Assumptions!$H$43*Sensitivity!$C$12</f>
        <v/>
      </c>
      <c r="T36" s="25">
        <f>T22*Assumptions!$H$43*Sensitivity!$C$12</f>
        <v/>
      </c>
      <c r="U36" s="25">
        <f>U22*Assumptions!$H$43*Sensitivity!$C$12</f>
        <v/>
      </c>
      <c r="V36" s="25">
        <f>V22*Assumptions!$H$43*Sensitivity!$C$12</f>
        <v/>
      </c>
      <c r="W36" s="25">
        <f>W22*Assumptions!$H$43*Sensitivity!$C$12</f>
        <v/>
      </c>
      <c r="X36" s="25">
        <f>X22*Assumptions!$H$43*Sensitivity!$C$12</f>
        <v/>
      </c>
      <c r="Y36" s="25">
        <f>Y22*Assumptions!$H$43*Sensitivity!$C$12</f>
        <v/>
      </c>
      <c r="Z36" s="25">
        <f>Z22*Assumptions!$H$43*Sensitivity!$C$12</f>
        <v/>
      </c>
      <c r="AA36" s="25">
        <f>AA22*Assumptions!$H$43*Sensitivity!$C$12</f>
        <v/>
      </c>
      <c r="AB36" s="25">
        <f>AB22*Assumptions!$H$43*Sensitivity!$C$12</f>
        <v/>
      </c>
      <c r="AC36" s="25">
        <f>AC22*Assumptions!$H$43*Sensitivity!$C$12</f>
        <v/>
      </c>
      <c r="AD36" s="25">
        <f>AD22*Assumptions!$H$43*Sensitivity!$C$12</f>
        <v/>
      </c>
      <c r="AE36" s="25">
        <f>AE22*Assumptions!$H$43*Sensitivity!$C$12</f>
        <v/>
      </c>
      <c r="AF36" s="25">
        <f>AF22*Assumptions!$H$43*Sensitivity!$C$12</f>
        <v/>
      </c>
      <c r="AG36" s="25">
        <f>AG22*Assumptions!$H$43*Sensitivity!$C$12</f>
        <v/>
      </c>
      <c r="AH36" s="25">
        <f>AH22*Assumptions!$H$43*Sensitivity!$C$12</f>
        <v/>
      </c>
      <c r="AI36" s="25">
        <f>AI22*Assumptions!$H$43*Sensitivity!$C$12</f>
        <v/>
      </c>
      <c r="AJ36" s="25">
        <f>AJ22*Assumptions!$H$43*Sensitivity!$C$12</f>
        <v/>
      </c>
      <c r="AK36" s="25">
        <f>AK22*Assumptions!$H$43*Sensitivity!$C$12</f>
        <v/>
      </c>
      <c r="AL36" s="25">
        <f>AL22*Assumptions!$H$43*Sensitivity!$C$12</f>
        <v/>
      </c>
      <c r="AM36" s="25">
        <f>AM22*Assumptions!$H$43*Sensitivity!$C$12</f>
        <v/>
      </c>
      <c r="AN36" s="25">
        <f>AN22*Assumptions!$H$43*Sensitivity!$C$12</f>
        <v/>
      </c>
      <c r="AO36" s="25">
        <f>AO22*Assumptions!$H$43*Sensitivity!$C$12</f>
        <v/>
      </c>
      <c r="AP36" s="25">
        <f>AP22*Assumptions!$H$43*Sensitivity!$C$12</f>
        <v/>
      </c>
      <c r="AQ36" s="25">
        <f>AQ22*Assumptions!$H$43*Sensitivity!$C$12</f>
        <v/>
      </c>
      <c r="AR36" s="25">
        <f>AR22*Assumptions!$H$43*Sensitivity!$C$12</f>
        <v/>
      </c>
      <c r="AS36" s="25">
        <f>AS22*Assumptions!$H$43*Sensitivity!$C$12</f>
        <v/>
      </c>
      <c r="AT36" s="25">
        <f>AT22*Assumptions!$H$43*Sensitivity!$C$12</f>
        <v/>
      </c>
      <c r="AU36" s="25">
        <f>AU22*Assumptions!$H$43*Sensitivity!$C$12</f>
        <v/>
      </c>
      <c r="AV36" s="25">
        <f>AV22*Assumptions!$H$43*Sensitivity!$C$12</f>
        <v/>
      </c>
      <c r="AW36" s="25">
        <f>AW22*Assumptions!$H$43*Sensitivity!$C$12</f>
        <v/>
      </c>
      <c r="AX36" s="25">
        <f>AX22*Assumptions!$H$43*Sensitivity!$C$12</f>
        <v/>
      </c>
      <c r="AY36" s="25">
        <f>AY22*Assumptions!$H$43*Sensitivity!$C$12</f>
        <v/>
      </c>
      <c r="AZ36" s="25">
        <f>AZ22*Assumptions!$H$43*Sensitivity!$C$12</f>
        <v/>
      </c>
      <c r="BA36" s="25">
        <f>BA22*Assumptions!$H$43*Sensitivity!$C$12</f>
        <v/>
      </c>
      <c r="BB36" s="25">
        <f>BB22*Assumptions!$H$43*Sensitivity!$C$12</f>
        <v/>
      </c>
      <c r="BC36" s="25">
        <f>BC22*Assumptions!$H$43*Sensitivity!$C$12</f>
        <v/>
      </c>
      <c r="BD36" s="25">
        <f>BD22*Assumptions!$H$43*Sensitivity!$C$12</f>
        <v/>
      </c>
      <c r="BE36" s="25">
        <f>BE22*Assumptions!$H$43*Sensitivity!$C$12</f>
        <v/>
      </c>
      <c r="BF36" s="25">
        <f>BF22*Assumptions!$H$43*Sensitivity!$C$12</f>
        <v/>
      </c>
      <c r="BG36" s="25">
        <f>BG22*Assumptions!$H$43*Sensitivity!$C$12</f>
        <v/>
      </c>
      <c r="BH36" s="25">
        <f>BH22*Assumptions!$H$43*Sensitivity!$C$12</f>
        <v/>
      </c>
      <c r="BI36" s="25">
        <f>BI22*Assumptions!$H$43*Sensitivity!$C$12</f>
        <v/>
      </c>
      <c r="BJ36" s="25">
        <f>BJ22*Assumptions!$H$43*Sensitivity!$C$12</f>
        <v/>
      </c>
      <c r="BK36" s="25">
        <f>BK22*Assumptions!$H$43*Sensitivity!$C$12</f>
        <v/>
      </c>
      <c r="BL36" s="25">
        <f>BL22*Assumptions!$H$43*Sensitivity!$C$12</f>
        <v/>
      </c>
      <c r="BM36" s="25">
        <f>BM22*Assumptions!$H$43*Sensitivity!$C$12</f>
        <v/>
      </c>
      <c r="BN36" s="25">
        <f>BN22*Assumptions!$H$43*Sensitivity!$C$12</f>
        <v/>
      </c>
      <c r="BO36" s="25">
        <f>BO22*Assumptions!$H$43*Sensitivity!$C$12</f>
        <v/>
      </c>
      <c r="BP36" s="25">
        <f>BP22*Assumptions!$H$43*Sensitivity!$C$12</f>
        <v/>
      </c>
      <c r="BQ36" s="25">
        <f>BQ22*Assumptions!$H$43*Sensitivity!$C$12</f>
        <v/>
      </c>
      <c r="BR36" s="25">
        <f>BR22*Assumptions!$H$43*Sensitivity!$C$12</f>
        <v/>
      </c>
      <c r="BS36" s="25">
        <f>BS22*Assumptions!$H$43*Sensitivity!$C$12</f>
        <v/>
      </c>
      <c r="BT36" s="25">
        <f>BT22*Assumptions!$H$43*Sensitivity!$C$12</f>
        <v/>
      </c>
      <c r="BU36" s="25">
        <f>BU22*Assumptions!$H$43*Sensitivity!$C$12</f>
        <v/>
      </c>
      <c r="BV36" s="25">
        <f>BV22*Assumptions!$H$43*Sensitivity!$C$12</f>
        <v/>
      </c>
      <c r="BW36" s="25">
        <f>BW22*Assumptions!$H$43*Sensitivity!$C$12</f>
        <v/>
      </c>
      <c r="BX36" s="25">
        <f>BX22*Assumptions!$H$43*Sensitivity!$C$12</f>
        <v/>
      </c>
      <c r="BY36" s="25">
        <f>BY22*Assumptions!$H$43*Sensitivity!$C$12</f>
        <v/>
      </c>
      <c r="BZ36" s="25">
        <f>BZ22*Assumptions!$H$43*Sensitivity!$C$12</f>
        <v/>
      </c>
      <c r="CA36" s="25">
        <f>CA22*Assumptions!$H$43*Sensitivity!$C$12</f>
        <v/>
      </c>
      <c r="CB36" s="25">
        <f>CB22*Assumptions!$H$43*Sensitivity!$C$12</f>
        <v/>
      </c>
      <c r="CC36" s="25">
        <f>CC22*Assumptions!$H$43*Sensitivity!$C$12</f>
        <v/>
      </c>
      <c r="CD36" s="25">
        <f>CD22*Assumptions!$H$43*Sensitivity!$C$12</f>
        <v/>
      </c>
      <c r="CE36" s="25">
        <f>CE22*Assumptions!$H$43*Sensitivity!$C$12</f>
        <v/>
      </c>
      <c r="CF36" s="25">
        <f>CF22*Assumptions!$H$43*Sensitivity!$C$12</f>
        <v/>
      </c>
      <c r="CG36" s="25">
        <f>CG22*Assumptions!$H$43*Sensitivity!$C$12</f>
        <v/>
      </c>
      <c r="CH36" s="25">
        <f>CH22*Assumptions!$H$43*Sensitivity!$C$12</f>
        <v/>
      </c>
      <c r="CI36" s="25">
        <f>CI22*Assumptions!$H$43*Sensitivity!$C$12</f>
        <v/>
      </c>
      <c r="CJ36" s="25">
        <f>CJ22*Assumptions!$H$43*Sensitivity!$C$12</f>
        <v/>
      </c>
      <c r="CK36" s="25">
        <f>CK22*Assumptions!$H$43*Sensitivity!$C$12</f>
        <v/>
      </c>
      <c r="CL36" s="25">
        <f>CL22*Assumptions!$H$43*Sensitivity!$C$12</f>
        <v/>
      </c>
      <c r="CM36" s="25">
        <f>CM22*Assumptions!$H$43*Sensitivity!$C$12</f>
        <v/>
      </c>
      <c r="CN36" s="25">
        <f>CN22*Assumptions!$H$43*Sensitivity!$C$12</f>
        <v/>
      </c>
      <c r="CO36" s="25">
        <f>CO22*Assumptions!$H$43*Sensitivity!$C$12</f>
        <v/>
      </c>
      <c r="CP36" s="25">
        <f>CP22*Assumptions!$H$43*Sensitivity!$C$12</f>
        <v/>
      </c>
      <c r="CQ36" s="25">
        <f>CQ22*Assumptions!$H$43*Sensitivity!$C$12</f>
        <v/>
      </c>
      <c r="CR36" s="25">
        <f>CR22*Assumptions!$H$43*Sensitivity!$C$12</f>
        <v/>
      </c>
      <c r="CS36" s="25">
        <f>CS22*Assumptions!$H$43*Sensitivity!$C$12</f>
        <v/>
      </c>
      <c r="CT36" s="25">
        <f>CT22*Assumptions!$H$43*Sensitivity!$C$12</f>
        <v/>
      </c>
      <c r="CU36" s="25">
        <f>CU22*Assumptions!$H$43*Sensitivity!$C$12</f>
        <v/>
      </c>
      <c r="CV36" s="25">
        <f>CV22*Assumptions!$H$43*Sensitivity!$C$12</f>
        <v/>
      </c>
      <c r="CW36" s="25">
        <f>CW22*Assumptions!$H$43*Sensitivity!$C$12</f>
        <v/>
      </c>
      <c r="CX36" s="25">
        <f>CX22*Assumptions!$H$43*Sensitivity!$C$12</f>
        <v/>
      </c>
      <c r="CY36" s="25">
        <f>CY22*Assumptions!$H$43*Sensitivity!$C$12</f>
        <v/>
      </c>
      <c r="CZ36" s="25">
        <f>CZ22*Assumptions!$H$43*Sensitivity!$C$12</f>
        <v/>
      </c>
      <c r="DA36" s="25">
        <f>DA22*Assumptions!$H$43*Sensitivity!$C$12</f>
        <v/>
      </c>
      <c r="DB36" s="25">
        <f>DB22*Assumptions!$H$43*Sensitivity!$C$12</f>
        <v/>
      </c>
      <c r="DC36" s="25">
        <f>DC22*Assumptions!$H$43*Sensitivity!$C$12</f>
        <v/>
      </c>
      <c r="DD36" s="25">
        <f>DD22*Assumptions!$H$43*Sensitivity!$C$12</f>
        <v/>
      </c>
      <c r="DE36" s="25">
        <f>DE22*Assumptions!$H$43*Sensitivity!$C$12</f>
        <v/>
      </c>
      <c r="DF36" s="25">
        <f>DF22*Assumptions!$H$43*Sensitivity!$C$12</f>
        <v/>
      </c>
      <c r="DG36" s="25">
        <f>DG22*Assumptions!$H$43*Sensitivity!$C$12</f>
        <v/>
      </c>
      <c r="DH36" s="25">
        <f>DH22*Assumptions!$H$43*Sensitivity!$C$12</f>
        <v/>
      </c>
      <c r="DI36" s="25">
        <f>DI22*Assumptions!$H$43*Sensitivity!$C$12</f>
        <v/>
      </c>
      <c r="DJ36" s="25">
        <f>DJ22*Assumptions!$H$43*Sensitivity!$C$12</f>
        <v/>
      </c>
      <c r="DK36" s="25">
        <f>DK22*Assumptions!$H$43*Sensitivity!$C$12</f>
        <v/>
      </c>
      <c r="DL36" s="25">
        <f>DL22*Assumptions!$H$43*Sensitivity!$C$12</f>
        <v/>
      </c>
      <c r="DM36" s="25">
        <f>DM22*Assumptions!$H$43*Sensitivity!$C$12</f>
        <v/>
      </c>
      <c r="DN36" s="25">
        <f>DN22*Assumptions!$H$43*Sensitivity!$C$12</f>
        <v/>
      </c>
      <c r="DO36" s="25">
        <f>DO22*Assumptions!$H$43*Sensitivity!$C$12</f>
        <v/>
      </c>
      <c r="DP36" s="25">
        <f>DP22*Assumptions!$H$43*Sensitivity!$C$12</f>
        <v/>
      </c>
      <c r="DQ36" s="25">
        <f>DQ22*Assumptions!$H$43*Sensitivity!$C$12</f>
        <v/>
      </c>
      <c r="DR36" s="25">
        <f>DR22*Assumptions!$H$43*Sensitivity!$C$12</f>
        <v/>
      </c>
      <c r="DS36" s="25">
        <f>DS22*Assumptions!$H$43*Sensitivity!$C$12</f>
        <v/>
      </c>
    </row>
    <row r="37">
      <c r="A37" s="2" t="inlineStr">
        <is>
          <t>CF_TRANSL</t>
        </is>
      </c>
      <c r="B37" s="6" t="inlineStr">
        <is>
          <t>Transport: livestock</t>
        </is>
      </c>
      <c r="C37" s="2" t="inlineStr">
        <is>
          <t>RWF</t>
        </is>
      </c>
      <c r="D37" s="25">
        <f>(Livestock!D25+Livestock!D49)*Assumptions!$H$44*Sensitivity!$C$12</f>
        <v/>
      </c>
      <c r="E37" s="25">
        <f>(Livestock!E25+Livestock!E49)*Assumptions!$H$44*Sensitivity!$C$12</f>
        <v/>
      </c>
      <c r="F37" s="25">
        <f>(Livestock!F25+Livestock!F49)*Assumptions!$H$44*Sensitivity!$C$12</f>
        <v/>
      </c>
      <c r="G37" s="25">
        <f>(Livestock!G25+Livestock!G49)*Assumptions!$H$44*Sensitivity!$C$12</f>
        <v/>
      </c>
      <c r="H37" s="25">
        <f>(Livestock!H25+Livestock!H49)*Assumptions!$H$44*Sensitivity!$C$12</f>
        <v/>
      </c>
      <c r="I37" s="25">
        <f>(Livestock!I25+Livestock!I49)*Assumptions!$H$44*Sensitivity!$C$12</f>
        <v/>
      </c>
      <c r="J37" s="25">
        <f>(Livestock!J25+Livestock!J49)*Assumptions!$H$44*Sensitivity!$C$12</f>
        <v/>
      </c>
      <c r="K37" s="25">
        <f>(Livestock!K25+Livestock!K49)*Assumptions!$H$44*Sensitivity!$C$12</f>
        <v/>
      </c>
      <c r="L37" s="25">
        <f>(Livestock!L25+Livestock!L49)*Assumptions!$H$44*Sensitivity!$C$12</f>
        <v/>
      </c>
      <c r="M37" s="25">
        <f>(Livestock!M25+Livestock!M49)*Assumptions!$H$44*Sensitivity!$C$12</f>
        <v/>
      </c>
      <c r="N37" s="25">
        <f>(Livestock!N25+Livestock!N49)*Assumptions!$H$44*Sensitivity!$C$12</f>
        <v/>
      </c>
      <c r="O37" s="25">
        <f>(Livestock!O25+Livestock!O49)*Assumptions!$H$44*Sensitivity!$C$12</f>
        <v/>
      </c>
      <c r="P37" s="25">
        <f>(Livestock!P25+Livestock!P49)*Assumptions!$H$44*Sensitivity!$C$12</f>
        <v/>
      </c>
      <c r="Q37" s="25">
        <f>(Livestock!Q25+Livestock!Q49)*Assumptions!$H$44*Sensitivity!$C$12</f>
        <v/>
      </c>
      <c r="R37" s="25">
        <f>(Livestock!R25+Livestock!R49)*Assumptions!$H$44*Sensitivity!$C$12</f>
        <v/>
      </c>
      <c r="S37" s="25">
        <f>(Livestock!S25+Livestock!S49)*Assumptions!$H$44*Sensitivity!$C$12</f>
        <v/>
      </c>
      <c r="T37" s="25">
        <f>(Livestock!T25+Livestock!T49)*Assumptions!$H$44*Sensitivity!$C$12</f>
        <v/>
      </c>
      <c r="U37" s="25">
        <f>(Livestock!U25+Livestock!U49)*Assumptions!$H$44*Sensitivity!$C$12</f>
        <v/>
      </c>
      <c r="V37" s="25">
        <f>(Livestock!V25+Livestock!V49)*Assumptions!$H$44*Sensitivity!$C$12</f>
        <v/>
      </c>
      <c r="W37" s="25">
        <f>(Livestock!W25+Livestock!W49)*Assumptions!$H$44*Sensitivity!$C$12</f>
        <v/>
      </c>
      <c r="X37" s="25">
        <f>(Livestock!X25+Livestock!X49)*Assumptions!$H$44*Sensitivity!$C$12</f>
        <v/>
      </c>
      <c r="Y37" s="25">
        <f>(Livestock!Y25+Livestock!Y49)*Assumptions!$H$44*Sensitivity!$C$12</f>
        <v/>
      </c>
      <c r="Z37" s="25">
        <f>(Livestock!Z25+Livestock!Z49)*Assumptions!$H$44*Sensitivity!$C$12</f>
        <v/>
      </c>
      <c r="AA37" s="25">
        <f>(Livestock!AA25+Livestock!AA49)*Assumptions!$H$44*Sensitivity!$C$12</f>
        <v/>
      </c>
      <c r="AB37" s="25">
        <f>(Livestock!AB25+Livestock!AB49)*Assumptions!$H$44*Sensitivity!$C$12</f>
        <v/>
      </c>
      <c r="AC37" s="25">
        <f>(Livestock!AC25+Livestock!AC49)*Assumptions!$H$44*Sensitivity!$C$12</f>
        <v/>
      </c>
      <c r="AD37" s="25">
        <f>(Livestock!AD25+Livestock!AD49)*Assumptions!$H$44*Sensitivity!$C$12</f>
        <v/>
      </c>
      <c r="AE37" s="25">
        <f>(Livestock!AE25+Livestock!AE49)*Assumptions!$H$44*Sensitivity!$C$12</f>
        <v/>
      </c>
      <c r="AF37" s="25">
        <f>(Livestock!AF25+Livestock!AF49)*Assumptions!$H$44*Sensitivity!$C$12</f>
        <v/>
      </c>
      <c r="AG37" s="25">
        <f>(Livestock!AG25+Livestock!AG49)*Assumptions!$H$44*Sensitivity!$C$12</f>
        <v/>
      </c>
      <c r="AH37" s="25">
        <f>(Livestock!AH25+Livestock!AH49)*Assumptions!$H$44*Sensitivity!$C$12</f>
        <v/>
      </c>
      <c r="AI37" s="25">
        <f>(Livestock!AI25+Livestock!AI49)*Assumptions!$H$44*Sensitivity!$C$12</f>
        <v/>
      </c>
      <c r="AJ37" s="25">
        <f>(Livestock!AJ25+Livestock!AJ49)*Assumptions!$H$44*Sensitivity!$C$12</f>
        <v/>
      </c>
      <c r="AK37" s="25">
        <f>(Livestock!AK25+Livestock!AK49)*Assumptions!$H$44*Sensitivity!$C$12</f>
        <v/>
      </c>
      <c r="AL37" s="25">
        <f>(Livestock!AL25+Livestock!AL49)*Assumptions!$H$44*Sensitivity!$C$12</f>
        <v/>
      </c>
      <c r="AM37" s="25">
        <f>(Livestock!AM25+Livestock!AM49)*Assumptions!$H$44*Sensitivity!$C$12</f>
        <v/>
      </c>
      <c r="AN37" s="25">
        <f>(Livestock!AN25+Livestock!AN49)*Assumptions!$H$44*Sensitivity!$C$12</f>
        <v/>
      </c>
      <c r="AO37" s="25">
        <f>(Livestock!AO25+Livestock!AO49)*Assumptions!$H$44*Sensitivity!$C$12</f>
        <v/>
      </c>
      <c r="AP37" s="25">
        <f>(Livestock!AP25+Livestock!AP49)*Assumptions!$H$44*Sensitivity!$C$12</f>
        <v/>
      </c>
      <c r="AQ37" s="25">
        <f>(Livestock!AQ25+Livestock!AQ49)*Assumptions!$H$44*Sensitivity!$C$12</f>
        <v/>
      </c>
      <c r="AR37" s="25">
        <f>(Livestock!AR25+Livestock!AR49)*Assumptions!$H$44*Sensitivity!$C$12</f>
        <v/>
      </c>
      <c r="AS37" s="25">
        <f>(Livestock!AS25+Livestock!AS49)*Assumptions!$H$44*Sensitivity!$C$12</f>
        <v/>
      </c>
      <c r="AT37" s="25">
        <f>(Livestock!AT25+Livestock!AT49)*Assumptions!$H$44*Sensitivity!$C$12</f>
        <v/>
      </c>
      <c r="AU37" s="25">
        <f>(Livestock!AU25+Livestock!AU49)*Assumptions!$H$44*Sensitivity!$C$12</f>
        <v/>
      </c>
      <c r="AV37" s="25">
        <f>(Livestock!AV25+Livestock!AV49)*Assumptions!$H$44*Sensitivity!$C$12</f>
        <v/>
      </c>
      <c r="AW37" s="25">
        <f>(Livestock!AW25+Livestock!AW49)*Assumptions!$H$44*Sensitivity!$C$12</f>
        <v/>
      </c>
      <c r="AX37" s="25">
        <f>(Livestock!AX25+Livestock!AX49)*Assumptions!$H$44*Sensitivity!$C$12</f>
        <v/>
      </c>
      <c r="AY37" s="25">
        <f>(Livestock!AY25+Livestock!AY49)*Assumptions!$H$44*Sensitivity!$C$12</f>
        <v/>
      </c>
      <c r="AZ37" s="25">
        <f>(Livestock!AZ25+Livestock!AZ49)*Assumptions!$H$44*Sensitivity!$C$12</f>
        <v/>
      </c>
      <c r="BA37" s="25">
        <f>(Livestock!BA25+Livestock!BA49)*Assumptions!$H$44*Sensitivity!$C$12</f>
        <v/>
      </c>
      <c r="BB37" s="25">
        <f>(Livestock!BB25+Livestock!BB49)*Assumptions!$H$44*Sensitivity!$C$12</f>
        <v/>
      </c>
      <c r="BC37" s="25">
        <f>(Livestock!BC25+Livestock!BC49)*Assumptions!$H$44*Sensitivity!$C$12</f>
        <v/>
      </c>
      <c r="BD37" s="25">
        <f>(Livestock!BD25+Livestock!BD49)*Assumptions!$H$44*Sensitivity!$C$12</f>
        <v/>
      </c>
      <c r="BE37" s="25">
        <f>(Livestock!BE25+Livestock!BE49)*Assumptions!$H$44*Sensitivity!$C$12</f>
        <v/>
      </c>
      <c r="BF37" s="25">
        <f>(Livestock!BF25+Livestock!BF49)*Assumptions!$H$44*Sensitivity!$C$12</f>
        <v/>
      </c>
      <c r="BG37" s="25">
        <f>(Livestock!BG25+Livestock!BG49)*Assumptions!$H$44*Sensitivity!$C$12</f>
        <v/>
      </c>
      <c r="BH37" s="25">
        <f>(Livestock!BH25+Livestock!BH49)*Assumptions!$H$44*Sensitivity!$C$12</f>
        <v/>
      </c>
      <c r="BI37" s="25">
        <f>(Livestock!BI25+Livestock!BI49)*Assumptions!$H$44*Sensitivity!$C$12</f>
        <v/>
      </c>
      <c r="BJ37" s="25">
        <f>(Livestock!BJ25+Livestock!BJ49)*Assumptions!$H$44*Sensitivity!$C$12</f>
        <v/>
      </c>
      <c r="BK37" s="25">
        <f>(Livestock!BK25+Livestock!BK49)*Assumptions!$H$44*Sensitivity!$C$12</f>
        <v/>
      </c>
      <c r="BL37" s="25">
        <f>(Livestock!BL25+Livestock!BL49)*Assumptions!$H$44*Sensitivity!$C$12</f>
        <v/>
      </c>
      <c r="BM37" s="25">
        <f>(Livestock!BM25+Livestock!BM49)*Assumptions!$H$44*Sensitivity!$C$12</f>
        <v/>
      </c>
      <c r="BN37" s="25">
        <f>(Livestock!BN25+Livestock!BN49)*Assumptions!$H$44*Sensitivity!$C$12</f>
        <v/>
      </c>
      <c r="BO37" s="25">
        <f>(Livestock!BO25+Livestock!BO49)*Assumptions!$H$44*Sensitivity!$C$12</f>
        <v/>
      </c>
      <c r="BP37" s="25">
        <f>(Livestock!BP25+Livestock!BP49)*Assumptions!$H$44*Sensitivity!$C$12</f>
        <v/>
      </c>
      <c r="BQ37" s="25">
        <f>(Livestock!BQ25+Livestock!BQ49)*Assumptions!$H$44*Sensitivity!$C$12</f>
        <v/>
      </c>
      <c r="BR37" s="25">
        <f>(Livestock!BR25+Livestock!BR49)*Assumptions!$H$44*Sensitivity!$C$12</f>
        <v/>
      </c>
      <c r="BS37" s="25">
        <f>(Livestock!BS25+Livestock!BS49)*Assumptions!$H$44*Sensitivity!$C$12</f>
        <v/>
      </c>
      <c r="BT37" s="25">
        <f>(Livestock!BT25+Livestock!BT49)*Assumptions!$H$44*Sensitivity!$C$12</f>
        <v/>
      </c>
      <c r="BU37" s="25">
        <f>(Livestock!BU25+Livestock!BU49)*Assumptions!$H$44*Sensitivity!$C$12</f>
        <v/>
      </c>
      <c r="BV37" s="25">
        <f>(Livestock!BV25+Livestock!BV49)*Assumptions!$H$44*Sensitivity!$C$12</f>
        <v/>
      </c>
      <c r="BW37" s="25">
        <f>(Livestock!BW25+Livestock!BW49)*Assumptions!$H$44*Sensitivity!$C$12</f>
        <v/>
      </c>
      <c r="BX37" s="25">
        <f>(Livestock!BX25+Livestock!BX49)*Assumptions!$H$44*Sensitivity!$C$12</f>
        <v/>
      </c>
      <c r="BY37" s="25">
        <f>(Livestock!BY25+Livestock!BY49)*Assumptions!$H$44*Sensitivity!$C$12</f>
        <v/>
      </c>
      <c r="BZ37" s="25">
        <f>(Livestock!BZ25+Livestock!BZ49)*Assumptions!$H$44*Sensitivity!$C$12</f>
        <v/>
      </c>
      <c r="CA37" s="25">
        <f>(Livestock!CA25+Livestock!CA49)*Assumptions!$H$44*Sensitivity!$C$12</f>
        <v/>
      </c>
      <c r="CB37" s="25">
        <f>(Livestock!CB25+Livestock!CB49)*Assumptions!$H$44*Sensitivity!$C$12</f>
        <v/>
      </c>
      <c r="CC37" s="25">
        <f>(Livestock!CC25+Livestock!CC49)*Assumptions!$H$44*Sensitivity!$C$12</f>
        <v/>
      </c>
      <c r="CD37" s="25">
        <f>(Livestock!CD25+Livestock!CD49)*Assumptions!$H$44*Sensitivity!$C$12</f>
        <v/>
      </c>
      <c r="CE37" s="25">
        <f>(Livestock!CE25+Livestock!CE49)*Assumptions!$H$44*Sensitivity!$C$12</f>
        <v/>
      </c>
      <c r="CF37" s="25">
        <f>(Livestock!CF25+Livestock!CF49)*Assumptions!$H$44*Sensitivity!$C$12</f>
        <v/>
      </c>
      <c r="CG37" s="25">
        <f>(Livestock!CG25+Livestock!CG49)*Assumptions!$H$44*Sensitivity!$C$12</f>
        <v/>
      </c>
      <c r="CH37" s="25">
        <f>(Livestock!CH25+Livestock!CH49)*Assumptions!$H$44*Sensitivity!$C$12</f>
        <v/>
      </c>
      <c r="CI37" s="25">
        <f>(Livestock!CI25+Livestock!CI49)*Assumptions!$H$44*Sensitivity!$C$12</f>
        <v/>
      </c>
      <c r="CJ37" s="25">
        <f>(Livestock!CJ25+Livestock!CJ49)*Assumptions!$H$44*Sensitivity!$C$12</f>
        <v/>
      </c>
      <c r="CK37" s="25">
        <f>(Livestock!CK25+Livestock!CK49)*Assumptions!$H$44*Sensitivity!$C$12</f>
        <v/>
      </c>
      <c r="CL37" s="25">
        <f>(Livestock!CL25+Livestock!CL49)*Assumptions!$H$44*Sensitivity!$C$12</f>
        <v/>
      </c>
      <c r="CM37" s="25">
        <f>(Livestock!CM25+Livestock!CM49)*Assumptions!$H$44*Sensitivity!$C$12</f>
        <v/>
      </c>
      <c r="CN37" s="25">
        <f>(Livestock!CN25+Livestock!CN49)*Assumptions!$H$44*Sensitivity!$C$12</f>
        <v/>
      </c>
      <c r="CO37" s="25">
        <f>(Livestock!CO25+Livestock!CO49)*Assumptions!$H$44*Sensitivity!$C$12</f>
        <v/>
      </c>
      <c r="CP37" s="25">
        <f>(Livestock!CP25+Livestock!CP49)*Assumptions!$H$44*Sensitivity!$C$12</f>
        <v/>
      </c>
      <c r="CQ37" s="25">
        <f>(Livestock!CQ25+Livestock!CQ49)*Assumptions!$H$44*Sensitivity!$C$12</f>
        <v/>
      </c>
      <c r="CR37" s="25">
        <f>(Livestock!CR25+Livestock!CR49)*Assumptions!$H$44*Sensitivity!$C$12</f>
        <v/>
      </c>
      <c r="CS37" s="25">
        <f>(Livestock!CS25+Livestock!CS49)*Assumptions!$H$44*Sensitivity!$C$12</f>
        <v/>
      </c>
      <c r="CT37" s="25">
        <f>(Livestock!CT25+Livestock!CT49)*Assumptions!$H$44*Sensitivity!$C$12</f>
        <v/>
      </c>
      <c r="CU37" s="25">
        <f>(Livestock!CU25+Livestock!CU49)*Assumptions!$H$44*Sensitivity!$C$12</f>
        <v/>
      </c>
      <c r="CV37" s="25">
        <f>(Livestock!CV25+Livestock!CV49)*Assumptions!$H$44*Sensitivity!$C$12</f>
        <v/>
      </c>
      <c r="CW37" s="25">
        <f>(Livestock!CW25+Livestock!CW49)*Assumptions!$H$44*Sensitivity!$C$12</f>
        <v/>
      </c>
      <c r="CX37" s="25">
        <f>(Livestock!CX25+Livestock!CX49)*Assumptions!$H$44*Sensitivity!$C$12</f>
        <v/>
      </c>
      <c r="CY37" s="25">
        <f>(Livestock!CY25+Livestock!CY49)*Assumptions!$H$44*Sensitivity!$C$12</f>
        <v/>
      </c>
      <c r="CZ37" s="25">
        <f>(Livestock!CZ25+Livestock!CZ49)*Assumptions!$H$44*Sensitivity!$C$12</f>
        <v/>
      </c>
      <c r="DA37" s="25">
        <f>(Livestock!DA25+Livestock!DA49)*Assumptions!$H$44*Sensitivity!$C$12</f>
        <v/>
      </c>
      <c r="DB37" s="25">
        <f>(Livestock!DB25+Livestock!DB49)*Assumptions!$H$44*Sensitivity!$C$12</f>
        <v/>
      </c>
      <c r="DC37" s="25">
        <f>(Livestock!DC25+Livestock!DC49)*Assumptions!$H$44*Sensitivity!$C$12</f>
        <v/>
      </c>
      <c r="DD37" s="25">
        <f>(Livestock!DD25+Livestock!DD49)*Assumptions!$H$44*Sensitivity!$C$12</f>
        <v/>
      </c>
      <c r="DE37" s="25">
        <f>(Livestock!DE25+Livestock!DE49)*Assumptions!$H$44*Sensitivity!$C$12</f>
        <v/>
      </c>
      <c r="DF37" s="25">
        <f>(Livestock!DF25+Livestock!DF49)*Assumptions!$H$44*Sensitivity!$C$12</f>
        <v/>
      </c>
      <c r="DG37" s="25">
        <f>(Livestock!DG25+Livestock!DG49)*Assumptions!$H$44*Sensitivity!$C$12</f>
        <v/>
      </c>
      <c r="DH37" s="25">
        <f>(Livestock!DH25+Livestock!DH49)*Assumptions!$H$44*Sensitivity!$C$12</f>
        <v/>
      </c>
      <c r="DI37" s="25">
        <f>(Livestock!DI25+Livestock!DI49)*Assumptions!$H$44*Sensitivity!$C$12</f>
        <v/>
      </c>
      <c r="DJ37" s="25">
        <f>(Livestock!DJ25+Livestock!DJ49)*Assumptions!$H$44*Sensitivity!$C$12</f>
        <v/>
      </c>
      <c r="DK37" s="25">
        <f>(Livestock!DK25+Livestock!DK49)*Assumptions!$H$44*Sensitivity!$C$12</f>
        <v/>
      </c>
      <c r="DL37" s="25">
        <f>(Livestock!DL25+Livestock!DL49)*Assumptions!$H$44*Sensitivity!$C$12</f>
        <v/>
      </c>
      <c r="DM37" s="25">
        <f>(Livestock!DM25+Livestock!DM49)*Assumptions!$H$44*Sensitivity!$C$12</f>
        <v/>
      </c>
      <c r="DN37" s="25">
        <f>(Livestock!DN25+Livestock!DN49)*Assumptions!$H$44*Sensitivity!$C$12</f>
        <v/>
      </c>
      <c r="DO37" s="25">
        <f>(Livestock!DO25+Livestock!DO49)*Assumptions!$H$44*Sensitivity!$C$12</f>
        <v/>
      </c>
      <c r="DP37" s="25">
        <f>(Livestock!DP25+Livestock!DP49)*Assumptions!$H$44*Sensitivity!$C$12</f>
        <v/>
      </c>
      <c r="DQ37" s="25">
        <f>(Livestock!DQ25+Livestock!DQ49)*Assumptions!$H$44*Sensitivity!$C$12</f>
        <v/>
      </c>
      <c r="DR37" s="25">
        <f>(Livestock!DR25+Livestock!DR49)*Assumptions!$H$44*Sensitivity!$C$12</f>
        <v/>
      </c>
      <c r="DS37" s="25">
        <f>(Livestock!DS25+Livestock!DS49)*Assumptions!$H$44*Sensitivity!$C$12</f>
        <v/>
      </c>
    </row>
    <row r="38">
      <c r="A38" s="2" t="inlineStr">
        <is>
          <t>CF_PACK</t>
        </is>
      </c>
      <c r="B38" s="6" t="inlineStr">
        <is>
          <t>Packaging</t>
        </is>
      </c>
      <c r="C38" s="2" t="inlineStr">
        <is>
          <t>RWF</t>
        </is>
      </c>
      <c r="D38" s="25">
        <f>D22*Assumptions!$H$45</f>
        <v/>
      </c>
      <c r="E38" s="25">
        <f>E22*Assumptions!$H$45</f>
        <v/>
      </c>
      <c r="F38" s="25">
        <f>F22*Assumptions!$H$45</f>
        <v/>
      </c>
      <c r="G38" s="25">
        <f>G22*Assumptions!$H$45</f>
        <v/>
      </c>
      <c r="H38" s="25">
        <f>H22*Assumptions!$H$45</f>
        <v/>
      </c>
      <c r="I38" s="25">
        <f>I22*Assumptions!$H$45</f>
        <v/>
      </c>
      <c r="J38" s="25">
        <f>J22*Assumptions!$H$45</f>
        <v/>
      </c>
      <c r="K38" s="25">
        <f>K22*Assumptions!$H$45</f>
        <v/>
      </c>
      <c r="L38" s="25">
        <f>L22*Assumptions!$H$45</f>
        <v/>
      </c>
      <c r="M38" s="25">
        <f>M22*Assumptions!$H$45</f>
        <v/>
      </c>
      <c r="N38" s="25">
        <f>N22*Assumptions!$H$45</f>
        <v/>
      </c>
      <c r="O38" s="25">
        <f>O22*Assumptions!$H$45</f>
        <v/>
      </c>
      <c r="P38" s="25">
        <f>P22*Assumptions!$H$45</f>
        <v/>
      </c>
      <c r="Q38" s="25">
        <f>Q22*Assumptions!$H$45</f>
        <v/>
      </c>
      <c r="R38" s="25">
        <f>R22*Assumptions!$H$45</f>
        <v/>
      </c>
      <c r="S38" s="25">
        <f>S22*Assumptions!$H$45</f>
        <v/>
      </c>
      <c r="T38" s="25">
        <f>T22*Assumptions!$H$45</f>
        <v/>
      </c>
      <c r="U38" s="25">
        <f>U22*Assumptions!$H$45</f>
        <v/>
      </c>
      <c r="V38" s="25">
        <f>V22*Assumptions!$H$45</f>
        <v/>
      </c>
      <c r="W38" s="25">
        <f>W22*Assumptions!$H$45</f>
        <v/>
      </c>
      <c r="X38" s="25">
        <f>X22*Assumptions!$H$45</f>
        <v/>
      </c>
      <c r="Y38" s="25">
        <f>Y22*Assumptions!$H$45</f>
        <v/>
      </c>
      <c r="Z38" s="25">
        <f>Z22*Assumptions!$H$45</f>
        <v/>
      </c>
      <c r="AA38" s="25">
        <f>AA22*Assumptions!$H$45</f>
        <v/>
      </c>
      <c r="AB38" s="25">
        <f>AB22*Assumptions!$H$45</f>
        <v/>
      </c>
      <c r="AC38" s="25">
        <f>AC22*Assumptions!$H$45</f>
        <v/>
      </c>
      <c r="AD38" s="25">
        <f>AD22*Assumptions!$H$45</f>
        <v/>
      </c>
      <c r="AE38" s="25">
        <f>AE22*Assumptions!$H$45</f>
        <v/>
      </c>
      <c r="AF38" s="25">
        <f>AF22*Assumptions!$H$45</f>
        <v/>
      </c>
      <c r="AG38" s="25">
        <f>AG22*Assumptions!$H$45</f>
        <v/>
      </c>
      <c r="AH38" s="25">
        <f>AH22*Assumptions!$H$45</f>
        <v/>
      </c>
      <c r="AI38" s="25">
        <f>AI22*Assumptions!$H$45</f>
        <v/>
      </c>
      <c r="AJ38" s="25">
        <f>AJ22*Assumptions!$H$45</f>
        <v/>
      </c>
      <c r="AK38" s="25">
        <f>AK22*Assumptions!$H$45</f>
        <v/>
      </c>
      <c r="AL38" s="25">
        <f>AL22*Assumptions!$H$45</f>
        <v/>
      </c>
      <c r="AM38" s="25">
        <f>AM22*Assumptions!$H$45</f>
        <v/>
      </c>
      <c r="AN38" s="25">
        <f>AN22*Assumptions!$H$45</f>
        <v/>
      </c>
      <c r="AO38" s="25">
        <f>AO22*Assumptions!$H$45</f>
        <v/>
      </c>
      <c r="AP38" s="25">
        <f>AP22*Assumptions!$H$45</f>
        <v/>
      </c>
      <c r="AQ38" s="25">
        <f>AQ22*Assumptions!$H$45</f>
        <v/>
      </c>
      <c r="AR38" s="25">
        <f>AR22*Assumptions!$H$45</f>
        <v/>
      </c>
      <c r="AS38" s="25">
        <f>AS22*Assumptions!$H$45</f>
        <v/>
      </c>
      <c r="AT38" s="25">
        <f>AT22*Assumptions!$H$45</f>
        <v/>
      </c>
      <c r="AU38" s="25">
        <f>AU22*Assumptions!$H$45</f>
        <v/>
      </c>
      <c r="AV38" s="25">
        <f>AV22*Assumptions!$H$45</f>
        <v/>
      </c>
      <c r="AW38" s="25">
        <f>AW22*Assumptions!$H$45</f>
        <v/>
      </c>
      <c r="AX38" s="25">
        <f>AX22*Assumptions!$H$45</f>
        <v/>
      </c>
      <c r="AY38" s="25">
        <f>AY22*Assumptions!$H$45</f>
        <v/>
      </c>
      <c r="AZ38" s="25">
        <f>AZ22*Assumptions!$H$45</f>
        <v/>
      </c>
      <c r="BA38" s="25">
        <f>BA22*Assumptions!$H$45</f>
        <v/>
      </c>
      <c r="BB38" s="25">
        <f>BB22*Assumptions!$H$45</f>
        <v/>
      </c>
      <c r="BC38" s="25">
        <f>BC22*Assumptions!$H$45</f>
        <v/>
      </c>
      <c r="BD38" s="25">
        <f>BD22*Assumptions!$H$45</f>
        <v/>
      </c>
      <c r="BE38" s="25">
        <f>BE22*Assumptions!$H$45</f>
        <v/>
      </c>
      <c r="BF38" s="25">
        <f>BF22*Assumptions!$H$45</f>
        <v/>
      </c>
      <c r="BG38" s="25">
        <f>BG22*Assumptions!$H$45</f>
        <v/>
      </c>
      <c r="BH38" s="25">
        <f>BH22*Assumptions!$H$45</f>
        <v/>
      </c>
      <c r="BI38" s="25">
        <f>BI22*Assumptions!$H$45</f>
        <v/>
      </c>
      <c r="BJ38" s="25">
        <f>BJ22*Assumptions!$H$45</f>
        <v/>
      </c>
      <c r="BK38" s="25">
        <f>BK22*Assumptions!$H$45</f>
        <v/>
      </c>
      <c r="BL38" s="25">
        <f>BL22*Assumptions!$H$45</f>
        <v/>
      </c>
      <c r="BM38" s="25">
        <f>BM22*Assumptions!$H$45</f>
        <v/>
      </c>
      <c r="BN38" s="25">
        <f>BN22*Assumptions!$H$45</f>
        <v/>
      </c>
      <c r="BO38" s="25">
        <f>BO22*Assumptions!$H$45</f>
        <v/>
      </c>
      <c r="BP38" s="25">
        <f>BP22*Assumptions!$H$45</f>
        <v/>
      </c>
      <c r="BQ38" s="25">
        <f>BQ22*Assumptions!$H$45</f>
        <v/>
      </c>
      <c r="BR38" s="25">
        <f>BR22*Assumptions!$H$45</f>
        <v/>
      </c>
      <c r="BS38" s="25">
        <f>BS22*Assumptions!$H$45</f>
        <v/>
      </c>
      <c r="BT38" s="25">
        <f>BT22*Assumptions!$H$45</f>
        <v/>
      </c>
      <c r="BU38" s="25">
        <f>BU22*Assumptions!$H$45</f>
        <v/>
      </c>
      <c r="BV38" s="25">
        <f>BV22*Assumptions!$H$45</f>
        <v/>
      </c>
      <c r="BW38" s="25">
        <f>BW22*Assumptions!$H$45</f>
        <v/>
      </c>
      <c r="BX38" s="25">
        <f>BX22*Assumptions!$H$45</f>
        <v/>
      </c>
      <c r="BY38" s="25">
        <f>BY22*Assumptions!$H$45</f>
        <v/>
      </c>
      <c r="BZ38" s="25">
        <f>BZ22*Assumptions!$H$45</f>
        <v/>
      </c>
      <c r="CA38" s="25">
        <f>CA22*Assumptions!$H$45</f>
        <v/>
      </c>
      <c r="CB38" s="25">
        <f>CB22*Assumptions!$H$45</f>
        <v/>
      </c>
      <c r="CC38" s="25">
        <f>CC22*Assumptions!$H$45</f>
        <v/>
      </c>
      <c r="CD38" s="25">
        <f>CD22*Assumptions!$H$45</f>
        <v/>
      </c>
      <c r="CE38" s="25">
        <f>CE22*Assumptions!$H$45</f>
        <v/>
      </c>
      <c r="CF38" s="25">
        <f>CF22*Assumptions!$H$45</f>
        <v/>
      </c>
      <c r="CG38" s="25">
        <f>CG22*Assumptions!$H$45</f>
        <v/>
      </c>
      <c r="CH38" s="25">
        <f>CH22*Assumptions!$H$45</f>
        <v/>
      </c>
      <c r="CI38" s="25">
        <f>CI22*Assumptions!$H$45</f>
        <v/>
      </c>
      <c r="CJ38" s="25">
        <f>CJ22*Assumptions!$H$45</f>
        <v/>
      </c>
      <c r="CK38" s="25">
        <f>CK22*Assumptions!$H$45</f>
        <v/>
      </c>
      <c r="CL38" s="25">
        <f>CL22*Assumptions!$H$45</f>
        <v/>
      </c>
      <c r="CM38" s="25">
        <f>CM22*Assumptions!$H$45</f>
        <v/>
      </c>
      <c r="CN38" s="25">
        <f>CN22*Assumptions!$H$45</f>
        <v/>
      </c>
      <c r="CO38" s="25">
        <f>CO22*Assumptions!$H$45</f>
        <v/>
      </c>
      <c r="CP38" s="25">
        <f>CP22*Assumptions!$H$45</f>
        <v/>
      </c>
      <c r="CQ38" s="25">
        <f>CQ22*Assumptions!$H$45</f>
        <v/>
      </c>
      <c r="CR38" s="25">
        <f>CR22*Assumptions!$H$45</f>
        <v/>
      </c>
      <c r="CS38" s="25">
        <f>CS22*Assumptions!$H$45</f>
        <v/>
      </c>
      <c r="CT38" s="25">
        <f>CT22*Assumptions!$H$45</f>
        <v/>
      </c>
      <c r="CU38" s="25">
        <f>CU22*Assumptions!$H$45</f>
        <v/>
      </c>
      <c r="CV38" s="25">
        <f>CV22*Assumptions!$H$45</f>
        <v/>
      </c>
      <c r="CW38" s="25">
        <f>CW22*Assumptions!$H$45</f>
        <v/>
      </c>
      <c r="CX38" s="25">
        <f>CX22*Assumptions!$H$45</f>
        <v/>
      </c>
      <c r="CY38" s="25">
        <f>CY22*Assumptions!$H$45</f>
        <v/>
      </c>
      <c r="CZ38" s="25">
        <f>CZ22*Assumptions!$H$45</f>
        <v/>
      </c>
      <c r="DA38" s="25">
        <f>DA22*Assumptions!$H$45</f>
        <v/>
      </c>
      <c r="DB38" s="25">
        <f>DB22*Assumptions!$H$45</f>
        <v/>
      </c>
      <c r="DC38" s="25">
        <f>DC22*Assumptions!$H$45</f>
        <v/>
      </c>
      <c r="DD38" s="25">
        <f>DD22*Assumptions!$H$45</f>
        <v/>
      </c>
      <c r="DE38" s="25">
        <f>DE22*Assumptions!$H$45</f>
        <v/>
      </c>
      <c r="DF38" s="25">
        <f>DF22*Assumptions!$H$45</f>
        <v/>
      </c>
      <c r="DG38" s="25">
        <f>DG22*Assumptions!$H$45</f>
        <v/>
      </c>
      <c r="DH38" s="25">
        <f>DH22*Assumptions!$H$45</f>
        <v/>
      </c>
      <c r="DI38" s="25">
        <f>DI22*Assumptions!$H$45</f>
        <v/>
      </c>
      <c r="DJ38" s="25">
        <f>DJ22*Assumptions!$H$45</f>
        <v/>
      </c>
      <c r="DK38" s="25">
        <f>DK22*Assumptions!$H$45</f>
        <v/>
      </c>
      <c r="DL38" s="25">
        <f>DL22*Assumptions!$H$45</f>
        <v/>
      </c>
      <c r="DM38" s="25">
        <f>DM22*Assumptions!$H$45</f>
        <v/>
      </c>
      <c r="DN38" s="25">
        <f>DN22*Assumptions!$H$45</f>
        <v/>
      </c>
      <c r="DO38" s="25">
        <f>DO22*Assumptions!$H$45</f>
        <v/>
      </c>
      <c r="DP38" s="25">
        <f>DP22*Assumptions!$H$45</f>
        <v/>
      </c>
      <c r="DQ38" s="25">
        <f>DQ22*Assumptions!$H$45</f>
        <v/>
      </c>
      <c r="DR38" s="25">
        <f>DR22*Assumptions!$H$45</f>
        <v/>
      </c>
      <c r="DS38" s="25">
        <f>DS22*Assumptions!$H$45</f>
        <v/>
      </c>
    </row>
    <row r="39">
      <c r="A39" s="2" t="inlineStr">
        <is>
          <t>CF_MKTG</t>
        </is>
      </c>
      <c r="B39" s="6" t="inlineStr">
        <is>
          <t>Marketing and sales</t>
        </is>
      </c>
      <c r="C39" s="2" t="inlineStr">
        <is>
          <t>RWF</t>
        </is>
      </c>
      <c r="D39" s="25">
        <f>D21*Assumptions!$H$11</f>
        <v/>
      </c>
      <c r="E39" s="25">
        <f>E21*Assumptions!$H$11</f>
        <v/>
      </c>
      <c r="F39" s="25">
        <f>F21*Assumptions!$H$11</f>
        <v/>
      </c>
      <c r="G39" s="25">
        <f>G21*Assumptions!$H$11</f>
        <v/>
      </c>
      <c r="H39" s="25">
        <f>H21*Assumptions!$H$11</f>
        <v/>
      </c>
      <c r="I39" s="25">
        <f>I21*Assumptions!$H$11</f>
        <v/>
      </c>
      <c r="J39" s="25">
        <f>J21*Assumptions!$H$11</f>
        <v/>
      </c>
      <c r="K39" s="25">
        <f>K21*Assumptions!$H$11</f>
        <v/>
      </c>
      <c r="L39" s="25">
        <f>L21*Assumptions!$H$11</f>
        <v/>
      </c>
      <c r="M39" s="25">
        <f>M21*Assumptions!$H$11</f>
        <v/>
      </c>
      <c r="N39" s="25">
        <f>N21*Assumptions!$H$11</f>
        <v/>
      </c>
      <c r="O39" s="25">
        <f>O21*Assumptions!$H$11</f>
        <v/>
      </c>
      <c r="P39" s="25">
        <f>P21*Assumptions!$H$11</f>
        <v/>
      </c>
      <c r="Q39" s="25">
        <f>Q21*Assumptions!$H$11</f>
        <v/>
      </c>
      <c r="R39" s="25">
        <f>R21*Assumptions!$H$11</f>
        <v/>
      </c>
      <c r="S39" s="25">
        <f>S21*Assumptions!$H$11</f>
        <v/>
      </c>
      <c r="T39" s="25">
        <f>T21*Assumptions!$H$11</f>
        <v/>
      </c>
      <c r="U39" s="25">
        <f>U21*Assumptions!$H$11</f>
        <v/>
      </c>
      <c r="V39" s="25">
        <f>V21*Assumptions!$H$11</f>
        <v/>
      </c>
      <c r="W39" s="25">
        <f>W21*Assumptions!$H$11</f>
        <v/>
      </c>
      <c r="X39" s="25">
        <f>X21*Assumptions!$H$11</f>
        <v/>
      </c>
      <c r="Y39" s="25">
        <f>Y21*Assumptions!$H$11</f>
        <v/>
      </c>
      <c r="Z39" s="25">
        <f>Z21*Assumptions!$H$11</f>
        <v/>
      </c>
      <c r="AA39" s="25">
        <f>AA21*Assumptions!$H$11</f>
        <v/>
      </c>
      <c r="AB39" s="25">
        <f>AB21*Assumptions!$H$11</f>
        <v/>
      </c>
      <c r="AC39" s="25">
        <f>AC21*Assumptions!$H$11</f>
        <v/>
      </c>
      <c r="AD39" s="25">
        <f>AD21*Assumptions!$H$11</f>
        <v/>
      </c>
      <c r="AE39" s="25">
        <f>AE21*Assumptions!$H$11</f>
        <v/>
      </c>
      <c r="AF39" s="25">
        <f>AF21*Assumptions!$H$11</f>
        <v/>
      </c>
      <c r="AG39" s="25">
        <f>AG21*Assumptions!$H$11</f>
        <v/>
      </c>
      <c r="AH39" s="25">
        <f>AH21*Assumptions!$H$11</f>
        <v/>
      </c>
      <c r="AI39" s="25">
        <f>AI21*Assumptions!$H$11</f>
        <v/>
      </c>
      <c r="AJ39" s="25">
        <f>AJ21*Assumptions!$H$11</f>
        <v/>
      </c>
      <c r="AK39" s="25">
        <f>AK21*Assumptions!$H$11</f>
        <v/>
      </c>
      <c r="AL39" s="25">
        <f>AL21*Assumptions!$H$11</f>
        <v/>
      </c>
      <c r="AM39" s="25">
        <f>AM21*Assumptions!$H$11</f>
        <v/>
      </c>
      <c r="AN39" s="25">
        <f>AN21*Assumptions!$H$11</f>
        <v/>
      </c>
      <c r="AO39" s="25">
        <f>AO21*Assumptions!$H$11</f>
        <v/>
      </c>
      <c r="AP39" s="25">
        <f>AP21*Assumptions!$H$11</f>
        <v/>
      </c>
      <c r="AQ39" s="25">
        <f>AQ21*Assumptions!$H$11</f>
        <v/>
      </c>
      <c r="AR39" s="25">
        <f>AR21*Assumptions!$H$11</f>
        <v/>
      </c>
      <c r="AS39" s="25">
        <f>AS21*Assumptions!$H$11</f>
        <v/>
      </c>
      <c r="AT39" s="25">
        <f>AT21*Assumptions!$H$11</f>
        <v/>
      </c>
      <c r="AU39" s="25">
        <f>AU21*Assumptions!$H$11</f>
        <v/>
      </c>
      <c r="AV39" s="25">
        <f>AV21*Assumptions!$H$11</f>
        <v/>
      </c>
      <c r="AW39" s="25">
        <f>AW21*Assumptions!$H$11</f>
        <v/>
      </c>
      <c r="AX39" s="25">
        <f>AX21*Assumptions!$H$11</f>
        <v/>
      </c>
      <c r="AY39" s="25">
        <f>AY21*Assumptions!$H$11</f>
        <v/>
      </c>
      <c r="AZ39" s="25">
        <f>AZ21*Assumptions!$H$11</f>
        <v/>
      </c>
      <c r="BA39" s="25">
        <f>BA21*Assumptions!$H$11</f>
        <v/>
      </c>
      <c r="BB39" s="25">
        <f>BB21*Assumptions!$H$11</f>
        <v/>
      </c>
      <c r="BC39" s="25">
        <f>BC21*Assumptions!$H$11</f>
        <v/>
      </c>
      <c r="BD39" s="25">
        <f>BD21*Assumptions!$H$11</f>
        <v/>
      </c>
      <c r="BE39" s="25">
        <f>BE21*Assumptions!$H$11</f>
        <v/>
      </c>
      <c r="BF39" s="25">
        <f>BF21*Assumptions!$H$11</f>
        <v/>
      </c>
      <c r="BG39" s="25">
        <f>BG21*Assumptions!$H$11</f>
        <v/>
      </c>
      <c r="BH39" s="25">
        <f>BH21*Assumptions!$H$11</f>
        <v/>
      </c>
      <c r="BI39" s="25">
        <f>BI21*Assumptions!$H$11</f>
        <v/>
      </c>
      <c r="BJ39" s="25">
        <f>BJ21*Assumptions!$H$11</f>
        <v/>
      </c>
      <c r="BK39" s="25">
        <f>BK21*Assumptions!$H$11</f>
        <v/>
      </c>
      <c r="BL39" s="25">
        <f>BL21*Assumptions!$H$11</f>
        <v/>
      </c>
      <c r="BM39" s="25">
        <f>BM21*Assumptions!$H$11</f>
        <v/>
      </c>
      <c r="BN39" s="25">
        <f>BN21*Assumptions!$H$11</f>
        <v/>
      </c>
      <c r="BO39" s="25">
        <f>BO21*Assumptions!$H$11</f>
        <v/>
      </c>
      <c r="BP39" s="25">
        <f>BP21*Assumptions!$H$11</f>
        <v/>
      </c>
      <c r="BQ39" s="25">
        <f>BQ21*Assumptions!$H$11</f>
        <v/>
      </c>
      <c r="BR39" s="25">
        <f>BR21*Assumptions!$H$11</f>
        <v/>
      </c>
      <c r="BS39" s="25">
        <f>BS21*Assumptions!$H$11</f>
        <v/>
      </c>
      <c r="BT39" s="25">
        <f>BT21*Assumptions!$H$11</f>
        <v/>
      </c>
      <c r="BU39" s="25">
        <f>BU21*Assumptions!$H$11</f>
        <v/>
      </c>
      <c r="BV39" s="25">
        <f>BV21*Assumptions!$H$11</f>
        <v/>
      </c>
      <c r="BW39" s="25">
        <f>BW21*Assumptions!$H$11</f>
        <v/>
      </c>
      <c r="BX39" s="25">
        <f>BX21*Assumptions!$H$11</f>
        <v/>
      </c>
      <c r="BY39" s="25">
        <f>BY21*Assumptions!$H$11</f>
        <v/>
      </c>
      <c r="BZ39" s="25">
        <f>BZ21*Assumptions!$H$11</f>
        <v/>
      </c>
      <c r="CA39" s="25">
        <f>CA21*Assumptions!$H$11</f>
        <v/>
      </c>
      <c r="CB39" s="25">
        <f>CB21*Assumptions!$H$11</f>
        <v/>
      </c>
      <c r="CC39" s="25">
        <f>CC21*Assumptions!$H$11</f>
        <v/>
      </c>
      <c r="CD39" s="25">
        <f>CD21*Assumptions!$H$11</f>
        <v/>
      </c>
      <c r="CE39" s="25">
        <f>CE21*Assumptions!$H$11</f>
        <v/>
      </c>
      <c r="CF39" s="25">
        <f>CF21*Assumptions!$H$11</f>
        <v/>
      </c>
      <c r="CG39" s="25">
        <f>CG21*Assumptions!$H$11</f>
        <v/>
      </c>
      <c r="CH39" s="25">
        <f>CH21*Assumptions!$H$11</f>
        <v/>
      </c>
      <c r="CI39" s="25">
        <f>CI21*Assumptions!$H$11</f>
        <v/>
      </c>
      <c r="CJ39" s="25">
        <f>CJ21*Assumptions!$H$11</f>
        <v/>
      </c>
      <c r="CK39" s="25">
        <f>CK21*Assumptions!$H$11</f>
        <v/>
      </c>
      <c r="CL39" s="25">
        <f>CL21*Assumptions!$H$11</f>
        <v/>
      </c>
      <c r="CM39" s="25">
        <f>CM21*Assumptions!$H$11</f>
        <v/>
      </c>
      <c r="CN39" s="25">
        <f>CN21*Assumptions!$H$11</f>
        <v/>
      </c>
      <c r="CO39" s="25">
        <f>CO21*Assumptions!$H$11</f>
        <v/>
      </c>
      <c r="CP39" s="25">
        <f>CP21*Assumptions!$H$11</f>
        <v/>
      </c>
      <c r="CQ39" s="25">
        <f>CQ21*Assumptions!$H$11</f>
        <v/>
      </c>
      <c r="CR39" s="25">
        <f>CR21*Assumptions!$H$11</f>
        <v/>
      </c>
      <c r="CS39" s="25">
        <f>CS21*Assumptions!$H$11</f>
        <v/>
      </c>
      <c r="CT39" s="25">
        <f>CT21*Assumptions!$H$11</f>
        <v/>
      </c>
      <c r="CU39" s="25">
        <f>CU21*Assumptions!$H$11</f>
        <v/>
      </c>
      <c r="CV39" s="25">
        <f>CV21*Assumptions!$H$11</f>
        <v/>
      </c>
      <c r="CW39" s="25">
        <f>CW21*Assumptions!$H$11</f>
        <v/>
      </c>
      <c r="CX39" s="25">
        <f>CX21*Assumptions!$H$11</f>
        <v/>
      </c>
      <c r="CY39" s="25">
        <f>CY21*Assumptions!$H$11</f>
        <v/>
      </c>
      <c r="CZ39" s="25">
        <f>CZ21*Assumptions!$H$11</f>
        <v/>
      </c>
      <c r="DA39" s="25">
        <f>DA21*Assumptions!$H$11</f>
        <v/>
      </c>
      <c r="DB39" s="25">
        <f>DB21*Assumptions!$H$11</f>
        <v/>
      </c>
      <c r="DC39" s="25">
        <f>DC21*Assumptions!$H$11</f>
        <v/>
      </c>
      <c r="DD39" s="25">
        <f>DD21*Assumptions!$H$11</f>
        <v/>
      </c>
      <c r="DE39" s="25">
        <f>DE21*Assumptions!$H$11</f>
        <v/>
      </c>
      <c r="DF39" s="25">
        <f>DF21*Assumptions!$H$11</f>
        <v/>
      </c>
      <c r="DG39" s="25">
        <f>DG21*Assumptions!$H$11</f>
        <v/>
      </c>
      <c r="DH39" s="25">
        <f>DH21*Assumptions!$H$11</f>
        <v/>
      </c>
      <c r="DI39" s="25">
        <f>DI21*Assumptions!$H$11</f>
        <v/>
      </c>
      <c r="DJ39" s="25">
        <f>DJ21*Assumptions!$H$11</f>
        <v/>
      </c>
      <c r="DK39" s="25">
        <f>DK21*Assumptions!$H$11</f>
        <v/>
      </c>
      <c r="DL39" s="25">
        <f>DL21*Assumptions!$H$11</f>
        <v/>
      </c>
      <c r="DM39" s="25">
        <f>DM21*Assumptions!$H$11</f>
        <v/>
      </c>
      <c r="DN39" s="25">
        <f>DN21*Assumptions!$H$11</f>
        <v/>
      </c>
      <c r="DO39" s="25">
        <f>DO21*Assumptions!$H$11</f>
        <v/>
      </c>
      <c r="DP39" s="25">
        <f>DP21*Assumptions!$H$11</f>
        <v/>
      </c>
      <c r="DQ39" s="25">
        <f>DQ21*Assumptions!$H$11</f>
        <v/>
      </c>
      <c r="DR39" s="25">
        <f>DR21*Assumptions!$H$11</f>
        <v/>
      </c>
      <c r="DS39" s="25">
        <f>DS21*Assumptions!$H$11</f>
        <v/>
      </c>
    </row>
    <row r="40">
      <c r="A40" s="2" t="inlineStr">
        <is>
          <t>CF_COMMS</t>
        </is>
      </c>
      <c r="B40" s="6" t="inlineStr">
        <is>
          <t>Communications and software</t>
        </is>
      </c>
      <c r="C40" s="2" t="inlineStr">
        <is>
          <t>RWF</t>
        </is>
      </c>
      <c r="D40" s="10">
        <f>Assumptions!$H$46</f>
        <v/>
      </c>
      <c r="E40" s="10">
        <f>Assumptions!$H$46</f>
        <v/>
      </c>
      <c r="F40" s="10">
        <f>Assumptions!$H$46</f>
        <v/>
      </c>
      <c r="G40" s="10">
        <f>Assumptions!$H$46</f>
        <v/>
      </c>
      <c r="H40" s="10">
        <f>Assumptions!$H$46</f>
        <v/>
      </c>
      <c r="I40" s="10">
        <f>Assumptions!$H$46</f>
        <v/>
      </c>
      <c r="J40" s="10">
        <f>Assumptions!$H$46</f>
        <v/>
      </c>
      <c r="K40" s="10">
        <f>Assumptions!$H$46</f>
        <v/>
      </c>
      <c r="L40" s="10">
        <f>Assumptions!$H$46</f>
        <v/>
      </c>
      <c r="M40" s="10">
        <f>Assumptions!$H$46</f>
        <v/>
      </c>
      <c r="N40" s="10">
        <f>Assumptions!$H$46</f>
        <v/>
      </c>
      <c r="O40" s="10">
        <f>Assumptions!$H$46</f>
        <v/>
      </c>
      <c r="P40" s="10">
        <f>Assumptions!$H$46</f>
        <v/>
      </c>
      <c r="Q40" s="10">
        <f>Assumptions!$H$46</f>
        <v/>
      </c>
      <c r="R40" s="10">
        <f>Assumptions!$H$46</f>
        <v/>
      </c>
      <c r="S40" s="10">
        <f>Assumptions!$H$46</f>
        <v/>
      </c>
      <c r="T40" s="10">
        <f>Assumptions!$H$46</f>
        <v/>
      </c>
      <c r="U40" s="10">
        <f>Assumptions!$H$46</f>
        <v/>
      </c>
      <c r="V40" s="10">
        <f>Assumptions!$H$46</f>
        <v/>
      </c>
      <c r="W40" s="10">
        <f>Assumptions!$H$46</f>
        <v/>
      </c>
      <c r="X40" s="10">
        <f>Assumptions!$H$46</f>
        <v/>
      </c>
      <c r="Y40" s="10">
        <f>Assumptions!$H$46</f>
        <v/>
      </c>
      <c r="Z40" s="10">
        <f>Assumptions!$H$46</f>
        <v/>
      </c>
      <c r="AA40" s="10">
        <f>Assumptions!$H$46</f>
        <v/>
      </c>
      <c r="AB40" s="10">
        <f>Assumptions!$H$46</f>
        <v/>
      </c>
      <c r="AC40" s="10">
        <f>Assumptions!$H$46</f>
        <v/>
      </c>
      <c r="AD40" s="10">
        <f>Assumptions!$H$46</f>
        <v/>
      </c>
      <c r="AE40" s="10">
        <f>Assumptions!$H$46</f>
        <v/>
      </c>
      <c r="AF40" s="10">
        <f>Assumptions!$H$46</f>
        <v/>
      </c>
      <c r="AG40" s="10">
        <f>Assumptions!$H$46</f>
        <v/>
      </c>
      <c r="AH40" s="10">
        <f>Assumptions!$H$46</f>
        <v/>
      </c>
      <c r="AI40" s="10">
        <f>Assumptions!$H$46</f>
        <v/>
      </c>
      <c r="AJ40" s="10">
        <f>Assumptions!$H$46</f>
        <v/>
      </c>
      <c r="AK40" s="10">
        <f>Assumptions!$H$46</f>
        <v/>
      </c>
      <c r="AL40" s="10">
        <f>Assumptions!$H$46</f>
        <v/>
      </c>
      <c r="AM40" s="10">
        <f>Assumptions!$H$46</f>
        <v/>
      </c>
      <c r="AN40" s="10">
        <f>Assumptions!$H$46</f>
        <v/>
      </c>
      <c r="AO40" s="10">
        <f>Assumptions!$H$46</f>
        <v/>
      </c>
      <c r="AP40" s="10">
        <f>Assumptions!$H$46</f>
        <v/>
      </c>
      <c r="AQ40" s="10">
        <f>Assumptions!$H$46</f>
        <v/>
      </c>
      <c r="AR40" s="10">
        <f>Assumptions!$H$46</f>
        <v/>
      </c>
      <c r="AS40" s="10">
        <f>Assumptions!$H$46</f>
        <v/>
      </c>
      <c r="AT40" s="10">
        <f>Assumptions!$H$46</f>
        <v/>
      </c>
      <c r="AU40" s="10">
        <f>Assumptions!$H$46</f>
        <v/>
      </c>
      <c r="AV40" s="10">
        <f>Assumptions!$H$46</f>
        <v/>
      </c>
      <c r="AW40" s="10">
        <f>Assumptions!$H$46</f>
        <v/>
      </c>
      <c r="AX40" s="10">
        <f>Assumptions!$H$46</f>
        <v/>
      </c>
      <c r="AY40" s="10">
        <f>Assumptions!$H$46</f>
        <v/>
      </c>
      <c r="AZ40" s="10">
        <f>Assumptions!$H$46</f>
        <v/>
      </c>
      <c r="BA40" s="10">
        <f>Assumptions!$H$46</f>
        <v/>
      </c>
      <c r="BB40" s="10">
        <f>Assumptions!$H$46</f>
        <v/>
      </c>
      <c r="BC40" s="10">
        <f>Assumptions!$H$46</f>
        <v/>
      </c>
      <c r="BD40" s="10">
        <f>Assumptions!$H$46</f>
        <v/>
      </c>
      <c r="BE40" s="10">
        <f>Assumptions!$H$46</f>
        <v/>
      </c>
      <c r="BF40" s="10">
        <f>Assumptions!$H$46</f>
        <v/>
      </c>
      <c r="BG40" s="10">
        <f>Assumptions!$H$46</f>
        <v/>
      </c>
      <c r="BH40" s="10">
        <f>Assumptions!$H$46</f>
        <v/>
      </c>
      <c r="BI40" s="10">
        <f>Assumptions!$H$46</f>
        <v/>
      </c>
      <c r="BJ40" s="10">
        <f>Assumptions!$H$46</f>
        <v/>
      </c>
      <c r="BK40" s="10">
        <f>Assumptions!$H$46</f>
        <v/>
      </c>
      <c r="BL40" s="10">
        <f>Assumptions!$H$46</f>
        <v/>
      </c>
      <c r="BM40" s="10">
        <f>Assumptions!$H$46</f>
        <v/>
      </c>
      <c r="BN40" s="10">
        <f>Assumptions!$H$46</f>
        <v/>
      </c>
      <c r="BO40" s="10">
        <f>Assumptions!$H$46</f>
        <v/>
      </c>
      <c r="BP40" s="10">
        <f>Assumptions!$H$46</f>
        <v/>
      </c>
      <c r="BQ40" s="10">
        <f>Assumptions!$H$46</f>
        <v/>
      </c>
      <c r="BR40" s="10">
        <f>Assumptions!$H$46</f>
        <v/>
      </c>
      <c r="BS40" s="10">
        <f>Assumptions!$H$46</f>
        <v/>
      </c>
      <c r="BT40" s="10">
        <f>Assumptions!$H$46</f>
        <v/>
      </c>
      <c r="BU40" s="10">
        <f>Assumptions!$H$46</f>
        <v/>
      </c>
      <c r="BV40" s="10">
        <f>Assumptions!$H$46</f>
        <v/>
      </c>
      <c r="BW40" s="10">
        <f>Assumptions!$H$46</f>
        <v/>
      </c>
      <c r="BX40" s="10">
        <f>Assumptions!$H$46</f>
        <v/>
      </c>
      <c r="BY40" s="10">
        <f>Assumptions!$H$46</f>
        <v/>
      </c>
      <c r="BZ40" s="10">
        <f>Assumptions!$H$46</f>
        <v/>
      </c>
      <c r="CA40" s="10">
        <f>Assumptions!$H$46</f>
        <v/>
      </c>
      <c r="CB40" s="10">
        <f>Assumptions!$H$46</f>
        <v/>
      </c>
      <c r="CC40" s="10">
        <f>Assumptions!$H$46</f>
        <v/>
      </c>
      <c r="CD40" s="10">
        <f>Assumptions!$H$46</f>
        <v/>
      </c>
      <c r="CE40" s="10">
        <f>Assumptions!$H$46</f>
        <v/>
      </c>
      <c r="CF40" s="10">
        <f>Assumptions!$H$46</f>
        <v/>
      </c>
      <c r="CG40" s="10">
        <f>Assumptions!$H$46</f>
        <v/>
      </c>
      <c r="CH40" s="10">
        <f>Assumptions!$H$46</f>
        <v/>
      </c>
      <c r="CI40" s="10">
        <f>Assumptions!$H$46</f>
        <v/>
      </c>
      <c r="CJ40" s="10">
        <f>Assumptions!$H$46</f>
        <v/>
      </c>
      <c r="CK40" s="10">
        <f>Assumptions!$H$46</f>
        <v/>
      </c>
      <c r="CL40" s="10">
        <f>Assumptions!$H$46</f>
        <v/>
      </c>
      <c r="CM40" s="10">
        <f>Assumptions!$H$46</f>
        <v/>
      </c>
      <c r="CN40" s="10">
        <f>Assumptions!$H$46</f>
        <v/>
      </c>
      <c r="CO40" s="10">
        <f>Assumptions!$H$46</f>
        <v/>
      </c>
      <c r="CP40" s="10">
        <f>Assumptions!$H$46</f>
        <v/>
      </c>
      <c r="CQ40" s="10">
        <f>Assumptions!$H$46</f>
        <v/>
      </c>
      <c r="CR40" s="10">
        <f>Assumptions!$H$46</f>
        <v/>
      </c>
      <c r="CS40" s="10">
        <f>Assumptions!$H$46</f>
        <v/>
      </c>
      <c r="CT40" s="10">
        <f>Assumptions!$H$46</f>
        <v/>
      </c>
      <c r="CU40" s="10">
        <f>Assumptions!$H$46</f>
        <v/>
      </c>
      <c r="CV40" s="10">
        <f>Assumptions!$H$46</f>
        <v/>
      </c>
      <c r="CW40" s="10">
        <f>Assumptions!$H$46</f>
        <v/>
      </c>
      <c r="CX40" s="10">
        <f>Assumptions!$H$46</f>
        <v/>
      </c>
      <c r="CY40" s="10">
        <f>Assumptions!$H$46</f>
        <v/>
      </c>
      <c r="CZ40" s="10">
        <f>Assumptions!$H$46</f>
        <v/>
      </c>
      <c r="DA40" s="10">
        <f>Assumptions!$H$46</f>
        <v/>
      </c>
      <c r="DB40" s="10">
        <f>Assumptions!$H$46</f>
        <v/>
      </c>
      <c r="DC40" s="10">
        <f>Assumptions!$H$46</f>
        <v/>
      </c>
      <c r="DD40" s="10">
        <f>Assumptions!$H$46</f>
        <v/>
      </c>
      <c r="DE40" s="10">
        <f>Assumptions!$H$46</f>
        <v/>
      </c>
      <c r="DF40" s="10">
        <f>Assumptions!$H$46</f>
        <v/>
      </c>
      <c r="DG40" s="10">
        <f>Assumptions!$H$46</f>
        <v/>
      </c>
      <c r="DH40" s="10">
        <f>Assumptions!$H$46</f>
        <v/>
      </c>
      <c r="DI40" s="10">
        <f>Assumptions!$H$46</f>
        <v/>
      </c>
      <c r="DJ40" s="10">
        <f>Assumptions!$H$46</f>
        <v/>
      </c>
      <c r="DK40" s="10">
        <f>Assumptions!$H$46</f>
        <v/>
      </c>
      <c r="DL40" s="10">
        <f>Assumptions!$H$46</f>
        <v/>
      </c>
      <c r="DM40" s="10">
        <f>Assumptions!$H$46</f>
        <v/>
      </c>
      <c r="DN40" s="10">
        <f>Assumptions!$H$46</f>
        <v/>
      </c>
      <c r="DO40" s="10">
        <f>Assumptions!$H$46</f>
        <v/>
      </c>
      <c r="DP40" s="10">
        <f>Assumptions!$H$46</f>
        <v/>
      </c>
      <c r="DQ40" s="10">
        <f>Assumptions!$H$46</f>
        <v/>
      </c>
      <c r="DR40" s="10">
        <f>Assumptions!$H$46</f>
        <v/>
      </c>
      <c r="DS40" s="10">
        <f>Assumptions!$H$46</f>
        <v/>
      </c>
    </row>
    <row r="41">
      <c r="A41" s="2" t="inlineStr">
        <is>
          <t>CF_UTIL</t>
        </is>
      </c>
      <c r="B41" s="6" t="inlineStr">
        <is>
          <t>Utilities and fuel</t>
        </is>
      </c>
      <c r="C41" s="2" t="inlineStr">
        <is>
          <t>RWF</t>
        </is>
      </c>
      <c r="D41" s="10">
        <f>Assumptions!$H$47</f>
        <v/>
      </c>
      <c r="E41" s="10">
        <f>Assumptions!$H$47</f>
        <v/>
      </c>
      <c r="F41" s="10">
        <f>Assumptions!$H$47</f>
        <v/>
      </c>
      <c r="G41" s="10">
        <f>Assumptions!$H$47</f>
        <v/>
      </c>
      <c r="H41" s="10">
        <f>Assumptions!$H$47</f>
        <v/>
      </c>
      <c r="I41" s="10">
        <f>Assumptions!$H$47</f>
        <v/>
      </c>
      <c r="J41" s="10">
        <f>Assumptions!$H$47</f>
        <v/>
      </c>
      <c r="K41" s="10">
        <f>Assumptions!$H$47</f>
        <v/>
      </c>
      <c r="L41" s="10">
        <f>Assumptions!$H$47</f>
        <v/>
      </c>
      <c r="M41" s="10">
        <f>Assumptions!$H$47</f>
        <v/>
      </c>
      <c r="N41" s="10">
        <f>Assumptions!$H$47</f>
        <v/>
      </c>
      <c r="O41" s="10">
        <f>Assumptions!$H$47</f>
        <v/>
      </c>
      <c r="P41" s="10">
        <f>Assumptions!$H$47</f>
        <v/>
      </c>
      <c r="Q41" s="10">
        <f>Assumptions!$H$47</f>
        <v/>
      </c>
      <c r="R41" s="10">
        <f>Assumptions!$H$47</f>
        <v/>
      </c>
      <c r="S41" s="10">
        <f>Assumptions!$H$47</f>
        <v/>
      </c>
      <c r="T41" s="10">
        <f>Assumptions!$H$47</f>
        <v/>
      </c>
      <c r="U41" s="10">
        <f>Assumptions!$H$47</f>
        <v/>
      </c>
      <c r="V41" s="10">
        <f>Assumptions!$H$47</f>
        <v/>
      </c>
      <c r="W41" s="10">
        <f>Assumptions!$H$47</f>
        <v/>
      </c>
      <c r="X41" s="10">
        <f>Assumptions!$H$47</f>
        <v/>
      </c>
      <c r="Y41" s="10">
        <f>Assumptions!$H$47</f>
        <v/>
      </c>
      <c r="Z41" s="10">
        <f>Assumptions!$H$47</f>
        <v/>
      </c>
      <c r="AA41" s="10">
        <f>Assumptions!$H$47</f>
        <v/>
      </c>
      <c r="AB41" s="10">
        <f>Assumptions!$H$47</f>
        <v/>
      </c>
      <c r="AC41" s="10">
        <f>Assumptions!$H$47</f>
        <v/>
      </c>
      <c r="AD41" s="10">
        <f>Assumptions!$H$47</f>
        <v/>
      </c>
      <c r="AE41" s="10">
        <f>Assumptions!$H$47</f>
        <v/>
      </c>
      <c r="AF41" s="10">
        <f>Assumptions!$H$47</f>
        <v/>
      </c>
      <c r="AG41" s="10">
        <f>Assumptions!$H$47</f>
        <v/>
      </c>
      <c r="AH41" s="10">
        <f>Assumptions!$H$47</f>
        <v/>
      </c>
      <c r="AI41" s="10">
        <f>Assumptions!$H$47</f>
        <v/>
      </c>
      <c r="AJ41" s="10">
        <f>Assumptions!$H$47</f>
        <v/>
      </c>
      <c r="AK41" s="10">
        <f>Assumptions!$H$47</f>
        <v/>
      </c>
      <c r="AL41" s="10">
        <f>Assumptions!$H$47</f>
        <v/>
      </c>
      <c r="AM41" s="10">
        <f>Assumptions!$H$47</f>
        <v/>
      </c>
      <c r="AN41" s="10">
        <f>Assumptions!$H$47</f>
        <v/>
      </c>
      <c r="AO41" s="10">
        <f>Assumptions!$H$47</f>
        <v/>
      </c>
      <c r="AP41" s="10">
        <f>Assumptions!$H$47</f>
        <v/>
      </c>
      <c r="AQ41" s="10">
        <f>Assumptions!$H$47</f>
        <v/>
      </c>
      <c r="AR41" s="10">
        <f>Assumptions!$H$47</f>
        <v/>
      </c>
      <c r="AS41" s="10">
        <f>Assumptions!$H$47</f>
        <v/>
      </c>
      <c r="AT41" s="10">
        <f>Assumptions!$H$47</f>
        <v/>
      </c>
      <c r="AU41" s="10">
        <f>Assumptions!$H$47</f>
        <v/>
      </c>
      <c r="AV41" s="10">
        <f>Assumptions!$H$47</f>
        <v/>
      </c>
      <c r="AW41" s="10">
        <f>Assumptions!$H$47</f>
        <v/>
      </c>
      <c r="AX41" s="10">
        <f>Assumptions!$H$47</f>
        <v/>
      </c>
      <c r="AY41" s="10">
        <f>Assumptions!$H$47</f>
        <v/>
      </c>
      <c r="AZ41" s="10">
        <f>Assumptions!$H$47</f>
        <v/>
      </c>
      <c r="BA41" s="10">
        <f>Assumptions!$H$47</f>
        <v/>
      </c>
      <c r="BB41" s="10">
        <f>Assumptions!$H$47</f>
        <v/>
      </c>
      <c r="BC41" s="10">
        <f>Assumptions!$H$47</f>
        <v/>
      </c>
      <c r="BD41" s="10">
        <f>Assumptions!$H$47</f>
        <v/>
      </c>
      <c r="BE41" s="10">
        <f>Assumptions!$H$47</f>
        <v/>
      </c>
      <c r="BF41" s="10">
        <f>Assumptions!$H$47</f>
        <v/>
      </c>
      <c r="BG41" s="10">
        <f>Assumptions!$H$47</f>
        <v/>
      </c>
      <c r="BH41" s="10">
        <f>Assumptions!$H$47</f>
        <v/>
      </c>
      <c r="BI41" s="10">
        <f>Assumptions!$H$47</f>
        <v/>
      </c>
      <c r="BJ41" s="10">
        <f>Assumptions!$H$47</f>
        <v/>
      </c>
      <c r="BK41" s="10">
        <f>Assumptions!$H$47</f>
        <v/>
      </c>
      <c r="BL41" s="10">
        <f>Assumptions!$H$47</f>
        <v/>
      </c>
      <c r="BM41" s="10">
        <f>Assumptions!$H$47</f>
        <v/>
      </c>
      <c r="BN41" s="10">
        <f>Assumptions!$H$47</f>
        <v/>
      </c>
      <c r="BO41" s="10">
        <f>Assumptions!$H$47</f>
        <v/>
      </c>
      <c r="BP41" s="10">
        <f>Assumptions!$H$47</f>
        <v/>
      </c>
      <c r="BQ41" s="10">
        <f>Assumptions!$H$47</f>
        <v/>
      </c>
      <c r="BR41" s="10">
        <f>Assumptions!$H$47</f>
        <v/>
      </c>
      <c r="BS41" s="10">
        <f>Assumptions!$H$47</f>
        <v/>
      </c>
      <c r="BT41" s="10">
        <f>Assumptions!$H$47</f>
        <v/>
      </c>
      <c r="BU41" s="10">
        <f>Assumptions!$H$47</f>
        <v/>
      </c>
      <c r="BV41" s="10">
        <f>Assumptions!$H$47</f>
        <v/>
      </c>
      <c r="BW41" s="10">
        <f>Assumptions!$H$47</f>
        <v/>
      </c>
      <c r="BX41" s="10">
        <f>Assumptions!$H$47</f>
        <v/>
      </c>
      <c r="BY41" s="10">
        <f>Assumptions!$H$47</f>
        <v/>
      </c>
      <c r="BZ41" s="10">
        <f>Assumptions!$H$47</f>
        <v/>
      </c>
      <c r="CA41" s="10">
        <f>Assumptions!$H$47</f>
        <v/>
      </c>
      <c r="CB41" s="10">
        <f>Assumptions!$H$47</f>
        <v/>
      </c>
      <c r="CC41" s="10">
        <f>Assumptions!$H$47</f>
        <v/>
      </c>
      <c r="CD41" s="10">
        <f>Assumptions!$H$47</f>
        <v/>
      </c>
      <c r="CE41" s="10">
        <f>Assumptions!$H$47</f>
        <v/>
      </c>
      <c r="CF41" s="10">
        <f>Assumptions!$H$47</f>
        <v/>
      </c>
      <c r="CG41" s="10">
        <f>Assumptions!$H$47</f>
        <v/>
      </c>
      <c r="CH41" s="10">
        <f>Assumptions!$H$47</f>
        <v/>
      </c>
      <c r="CI41" s="10">
        <f>Assumptions!$H$47</f>
        <v/>
      </c>
      <c r="CJ41" s="10">
        <f>Assumptions!$H$47</f>
        <v/>
      </c>
      <c r="CK41" s="10">
        <f>Assumptions!$H$47</f>
        <v/>
      </c>
      <c r="CL41" s="10">
        <f>Assumptions!$H$47</f>
        <v/>
      </c>
      <c r="CM41" s="10">
        <f>Assumptions!$H$47</f>
        <v/>
      </c>
      <c r="CN41" s="10">
        <f>Assumptions!$H$47</f>
        <v/>
      </c>
      <c r="CO41" s="10">
        <f>Assumptions!$H$47</f>
        <v/>
      </c>
      <c r="CP41" s="10">
        <f>Assumptions!$H$47</f>
        <v/>
      </c>
      <c r="CQ41" s="10">
        <f>Assumptions!$H$47</f>
        <v/>
      </c>
      <c r="CR41" s="10">
        <f>Assumptions!$H$47</f>
        <v/>
      </c>
      <c r="CS41" s="10">
        <f>Assumptions!$H$47</f>
        <v/>
      </c>
      <c r="CT41" s="10">
        <f>Assumptions!$H$47</f>
        <v/>
      </c>
      <c r="CU41" s="10">
        <f>Assumptions!$H$47</f>
        <v/>
      </c>
      <c r="CV41" s="10">
        <f>Assumptions!$H$47</f>
        <v/>
      </c>
      <c r="CW41" s="10">
        <f>Assumptions!$H$47</f>
        <v/>
      </c>
      <c r="CX41" s="10">
        <f>Assumptions!$H$47</f>
        <v/>
      </c>
      <c r="CY41" s="10">
        <f>Assumptions!$H$47</f>
        <v/>
      </c>
      <c r="CZ41" s="10">
        <f>Assumptions!$H$47</f>
        <v/>
      </c>
      <c r="DA41" s="10">
        <f>Assumptions!$H$47</f>
        <v/>
      </c>
      <c r="DB41" s="10">
        <f>Assumptions!$H$47</f>
        <v/>
      </c>
      <c r="DC41" s="10">
        <f>Assumptions!$H$47</f>
        <v/>
      </c>
      <c r="DD41" s="10">
        <f>Assumptions!$H$47</f>
        <v/>
      </c>
      <c r="DE41" s="10">
        <f>Assumptions!$H$47</f>
        <v/>
      </c>
      <c r="DF41" s="10">
        <f>Assumptions!$H$47</f>
        <v/>
      </c>
      <c r="DG41" s="10">
        <f>Assumptions!$H$47</f>
        <v/>
      </c>
      <c r="DH41" s="10">
        <f>Assumptions!$H$47</f>
        <v/>
      </c>
      <c r="DI41" s="10">
        <f>Assumptions!$H$47</f>
        <v/>
      </c>
      <c r="DJ41" s="10">
        <f>Assumptions!$H$47</f>
        <v/>
      </c>
      <c r="DK41" s="10">
        <f>Assumptions!$H$47</f>
        <v/>
      </c>
      <c r="DL41" s="10">
        <f>Assumptions!$H$47</f>
        <v/>
      </c>
      <c r="DM41" s="10">
        <f>Assumptions!$H$47</f>
        <v/>
      </c>
      <c r="DN41" s="10">
        <f>Assumptions!$H$47</f>
        <v/>
      </c>
      <c r="DO41" s="10">
        <f>Assumptions!$H$47</f>
        <v/>
      </c>
      <c r="DP41" s="10">
        <f>Assumptions!$H$47</f>
        <v/>
      </c>
      <c r="DQ41" s="10">
        <f>Assumptions!$H$47</f>
        <v/>
      </c>
      <c r="DR41" s="10">
        <f>Assumptions!$H$47</f>
        <v/>
      </c>
      <c r="DS41" s="10">
        <f>Assumptions!$H$47</f>
        <v/>
      </c>
    </row>
    <row r="42">
      <c r="A42" s="2" t="inlineStr">
        <is>
          <t>CF_ADMIN</t>
        </is>
      </c>
      <c r="B42" s="6" t="inlineStr">
        <is>
          <t>Administration and accounting</t>
        </is>
      </c>
      <c r="C42" s="2" t="inlineStr">
        <is>
          <t>RWF</t>
        </is>
      </c>
      <c r="D42" s="10">
        <f>Assumptions!$H$48</f>
        <v/>
      </c>
      <c r="E42" s="10">
        <f>Assumptions!$H$48</f>
        <v/>
      </c>
      <c r="F42" s="10">
        <f>Assumptions!$H$48</f>
        <v/>
      </c>
      <c r="G42" s="10">
        <f>Assumptions!$H$48</f>
        <v/>
      </c>
      <c r="H42" s="10">
        <f>Assumptions!$H$48</f>
        <v/>
      </c>
      <c r="I42" s="10">
        <f>Assumptions!$H$48</f>
        <v/>
      </c>
      <c r="J42" s="10">
        <f>Assumptions!$H$48</f>
        <v/>
      </c>
      <c r="K42" s="10">
        <f>Assumptions!$H$48</f>
        <v/>
      </c>
      <c r="L42" s="10">
        <f>Assumptions!$H$48</f>
        <v/>
      </c>
      <c r="M42" s="10">
        <f>Assumptions!$H$48</f>
        <v/>
      </c>
      <c r="N42" s="10">
        <f>Assumptions!$H$48</f>
        <v/>
      </c>
      <c r="O42" s="10">
        <f>Assumptions!$H$48</f>
        <v/>
      </c>
      <c r="P42" s="10">
        <f>Assumptions!$H$48</f>
        <v/>
      </c>
      <c r="Q42" s="10">
        <f>Assumptions!$H$48</f>
        <v/>
      </c>
      <c r="R42" s="10">
        <f>Assumptions!$H$48</f>
        <v/>
      </c>
      <c r="S42" s="10">
        <f>Assumptions!$H$48</f>
        <v/>
      </c>
      <c r="T42" s="10">
        <f>Assumptions!$H$48</f>
        <v/>
      </c>
      <c r="U42" s="10">
        <f>Assumptions!$H$48</f>
        <v/>
      </c>
      <c r="V42" s="10">
        <f>Assumptions!$H$48</f>
        <v/>
      </c>
      <c r="W42" s="10">
        <f>Assumptions!$H$48</f>
        <v/>
      </c>
      <c r="X42" s="10">
        <f>Assumptions!$H$48</f>
        <v/>
      </c>
      <c r="Y42" s="10">
        <f>Assumptions!$H$48</f>
        <v/>
      </c>
      <c r="Z42" s="10">
        <f>Assumptions!$H$48</f>
        <v/>
      </c>
      <c r="AA42" s="10">
        <f>Assumptions!$H$48</f>
        <v/>
      </c>
      <c r="AB42" s="10">
        <f>Assumptions!$H$48</f>
        <v/>
      </c>
      <c r="AC42" s="10">
        <f>Assumptions!$H$48</f>
        <v/>
      </c>
      <c r="AD42" s="10">
        <f>Assumptions!$H$48</f>
        <v/>
      </c>
      <c r="AE42" s="10">
        <f>Assumptions!$H$48</f>
        <v/>
      </c>
      <c r="AF42" s="10">
        <f>Assumptions!$H$48</f>
        <v/>
      </c>
      <c r="AG42" s="10">
        <f>Assumptions!$H$48</f>
        <v/>
      </c>
      <c r="AH42" s="10">
        <f>Assumptions!$H$48</f>
        <v/>
      </c>
      <c r="AI42" s="10">
        <f>Assumptions!$H$48</f>
        <v/>
      </c>
      <c r="AJ42" s="10">
        <f>Assumptions!$H$48</f>
        <v/>
      </c>
      <c r="AK42" s="10">
        <f>Assumptions!$H$48</f>
        <v/>
      </c>
      <c r="AL42" s="10">
        <f>Assumptions!$H$48</f>
        <v/>
      </c>
      <c r="AM42" s="10">
        <f>Assumptions!$H$48</f>
        <v/>
      </c>
      <c r="AN42" s="10">
        <f>Assumptions!$H$48</f>
        <v/>
      </c>
      <c r="AO42" s="10">
        <f>Assumptions!$H$48</f>
        <v/>
      </c>
      <c r="AP42" s="10">
        <f>Assumptions!$H$48</f>
        <v/>
      </c>
      <c r="AQ42" s="10">
        <f>Assumptions!$H$48</f>
        <v/>
      </c>
      <c r="AR42" s="10">
        <f>Assumptions!$H$48</f>
        <v/>
      </c>
      <c r="AS42" s="10">
        <f>Assumptions!$H$48</f>
        <v/>
      </c>
      <c r="AT42" s="10">
        <f>Assumptions!$H$48</f>
        <v/>
      </c>
      <c r="AU42" s="10">
        <f>Assumptions!$H$48</f>
        <v/>
      </c>
      <c r="AV42" s="10">
        <f>Assumptions!$H$48</f>
        <v/>
      </c>
      <c r="AW42" s="10">
        <f>Assumptions!$H$48</f>
        <v/>
      </c>
      <c r="AX42" s="10">
        <f>Assumptions!$H$48</f>
        <v/>
      </c>
      <c r="AY42" s="10">
        <f>Assumptions!$H$48</f>
        <v/>
      </c>
      <c r="AZ42" s="10">
        <f>Assumptions!$H$48</f>
        <v/>
      </c>
      <c r="BA42" s="10">
        <f>Assumptions!$H$48</f>
        <v/>
      </c>
      <c r="BB42" s="10">
        <f>Assumptions!$H$48</f>
        <v/>
      </c>
      <c r="BC42" s="10">
        <f>Assumptions!$H$48</f>
        <v/>
      </c>
      <c r="BD42" s="10">
        <f>Assumptions!$H$48</f>
        <v/>
      </c>
      <c r="BE42" s="10">
        <f>Assumptions!$H$48</f>
        <v/>
      </c>
      <c r="BF42" s="10">
        <f>Assumptions!$H$48</f>
        <v/>
      </c>
      <c r="BG42" s="10">
        <f>Assumptions!$H$48</f>
        <v/>
      </c>
      <c r="BH42" s="10">
        <f>Assumptions!$H$48</f>
        <v/>
      </c>
      <c r="BI42" s="10">
        <f>Assumptions!$H$48</f>
        <v/>
      </c>
      <c r="BJ42" s="10">
        <f>Assumptions!$H$48</f>
        <v/>
      </c>
      <c r="BK42" s="10">
        <f>Assumptions!$H$48</f>
        <v/>
      </c>
      <c r="BL42" s="10">
        <f>Assumptions!$H$48</f>
        <v/>
      </c>
      <c r="BM42" s="10">
        <f>Assumptions!$H$48</f>
        <v/>
      </c>
      <c r="BN42" s="10">
        <f>Assumptions!$H$48</f>
        <v/>
      </c>
      <c r="BO42" s="10">
        <f>Assumptions!$H$48</f>
        <v/>
      </c>
      <c r="BP42" s="10">
        <f>Assumptions!$H$48</f>
        <v/>
      </c>
      <c r="BQ42" s="10">
        <f>Assumptions!$H$48</f>
        <v/>
      </c>
      <c r="BR42" s="10">
        <f>Assumptions!$H$48</f>
        <v/>
      </c>
      <c r="BS42" s="10">
        <f>Assumptions!$H$48</f>
        <v/>
      </c>
      <c r="BT42" s="10">
        <f>Assumptions!$H$48</f>
        <v/>
      </c>
      <c r="BU42" s="10">
        <f>Assumptions!$H$48</f>
        <v/>
      </c>
      <c r="BV42" s="10">
        <f>Assumptions!$H$48</f>
        <v/>
      </c>
      <c r="BW42" s="10">
        <f>Assumptions!$H$48</f>
        <v/>
      </c>
      <c r="BX42" s="10">
        <f>Assumptions!$H$48</f>
        <v/>
      </c>
      <c r="BY42" s="10">
        <f>Assumptions!$H$48</f>
        <v/>
      </c>
      <c r="BZ42" s="10">
        <f>Assumptions!$H$48</f>
        <v/>
      </c>
      <c r="CA42" s="10">
        <f>Assumptions!$H$48</f>
        <v/>
      </c>
      <c r="CB42" s="10">
        <f>Assumptions!$H$48</f>
        <v/>
      </c>
      <c r="CC42" s="10">
        <f>Assumptions!$H$48</f>
        <v/>
      </c>
      <c r="CD42" s="10">
        <f>Assumptions!$H$48</f>
        <v/>
      </c>
      <c r="CE42" s="10">
        <f>Assumptions!$H$48</f>
        <v/>
      </c>
      <c r="CF42" s="10">
        <f>Assumptions!$H$48</f>
        <v/>
      </c>
      <c r="CG42" s="10">
        <f>Assumptions!$H$48</f>
        <v/>
      </c>
      <c r="CH42" s="10">
        <f>Assumptions!$H$48</f>
        <v/>
      </c>
      <c r="CI42" s="10">
        <f>Assumptions!$H$48</f>
        <v/>
      </c>
      <c r="CJ42" s="10">
        <f>Assumptions!$H$48</f>
        <v/>
      </c>
      <c r="CK42" s="10">
        <f>Assumptions!$H$48</f>
        <v/>
      </c>
      <c r="CL42" s="10">
        <f>Assumptions!$H$48</f>
        <v/>
      </c>
      <c r="CM42" s="10">
        <f>Assumptions!$H$48</f>
        <v/>
      </c>
      <c r="CN42" s="10">
        <f>Assumptions!$H$48</f>
        <v/>
      </c>
      <c r="CO42" s="10">
        <f>Assumptions!$H$48</f>
        <v/>
      </c>
      <c r="CP42" s="10">
        <f>Assumptions!$H$48</f>
        <v/>
      </c>
      <c r="CQ42" s="10">
        <f>Assumptions!$H$48</f>
        <v/>
      </c>
      <c r="CR42" s="10">
        <f>Assumptions!$H$48</f>
        <v/>
      </c>
      <c r="CS42" s="10">
        <f>Assumptions!$H$48</f>
        <v/>
      </c>
      <c r="CT42" s="10">
        <f>Assumptions!$H$48</f>
        <v/>
      </c>
      <c r="CU42" s="10">
        <f>Assumptions!$H$48</f>
        <v/>
      </c>
      <c r="CV42" s="10">
        <f>Assumptions!$H$48</f>
        <v/>
      </c>
      <c r="CW42" s="10">
        <f>Assumptions!$H$48</f>
        <v/>
      </c>
      <c r="CX42" s="10">
        <f>Assumptions!$H$48</f>
        <v/>
      </c>
      <c r="CY42" s="10">
        <f>Assumptions!$H$48</f>
        <v/>
      </c>
      <c r="CZ42" s="10">
        <f>Assumptions!$H$48</f>
        <v/>
      </c>
      <c r="DA42" s="10">
        <f>Assumptions!$H$48</f>
        <v/>
      </c>
      <c r="DB42" s="10">
        <f>Assumptions!$H$48</f>
        <v/>
      </c>
      <c r="DC42" s="10">
        <f>Assumptions!$H$48</f>
        <v/>
      </c>
      <c r="DD42" s="10">
        <f>Assumptions!$H$48</f>
        <v/>
      </c>
      <c r="DE42" s="10">
        <f>Assumptions!$H$48</f>
        <v/>
      </c>
      <c r="DF42" s="10">
        <f>Assumptions!$H$48</f>
        <v/>
      </c>
      <c r="DG42" s="10">
        <f>Assumptions!$H$48</f>
        <v/>
      </c>
      <c r="DH42" s="10">
        <f>Assumptions!$H$48</f>
        <v/>
      </c>
      <c r="DI42" s="10">
        <f>Assumptions!$H$48</f>
        <v/>
      </c>
      <c r="DJ42" s="10">
        <f>Assumptions!$H$48</f>
        <v/>
      </c>
      <c r="DK42" s="10">
        <f>Assumptions!$H$48</f>
        <v/>
      </c>
      <c r="DL42" s="10">
        <f>Assumptions!$H$48</f>
        <v/>
      </c>
      <c r="DM42" s="10">
        <f>Assumptions!$H$48</f>
        <v/>
      </c>
      <c r="DN42" s="10">
        <f>Assumptions!$H$48</f>
        <v/>
      </c>
      <c r="DO42" s="10">
        <f>Assumptions!$H$48</f>
        <v/>
      </c>
      <c r="DP42" s="10">
        <f>Assumptions!$H$48</f>
        <v/>
      </c>
      <c r="DQ42" s="10">
        <f>Assumptions!$H$48</f>
        <v/>
      </c>
      <c r="DR42" s="10">
        <f>Assumptions!$H$48</f>
        <v/>
      </c>
      <c r="DS42" s="10">
        <f>Assumptions!$H$48</f>
        <v/>
      </c>
    </row>
    <row r="43">
      <c r="A43" s="2" t="inlineStr">
        <is>
          <t>CF_INS</t>
        </is>
      </c>
      <c r="B43" s="6" t="inlineStr">
        <is>
          <t>Livestock insurance</t>
        </is>
      </c>
      <c r="C43" s="2" t="inlineStr">
        <is>
          <t>RWF</t>
        </is>
      </c>
      <c r="D43" s="25">
        <f>(Livestock!D29+Livestock!D53)*Assumptions!$H$49/12</f>
        <v/>
      </c>
      <c r="E43" s="25">
        <f>(Livestock!E29+Livestock!E53)*Assumptions!$H$49/12</f>
        <v/>
      </c>
      <c r="F43" s="25">
        <f>(Livestock!F29+Livestock!F53)*Assumptions!$H$49/12</f>
        <v/>
      </c>
      <c r="G43" s="25">
        <f>(Livestock!G29+Livestock!G53)*Assumptions!$H$49/12</f>
        <v/>
      </c>
      <c r="H43" s="25">
        <f>(Livestock!H29+Livestock!H53)*Assumptions!$H$49/12</f>
        <v/>
      </c>
      <c r="I43" s="25">
        <f>(Livestock!I29+Livestock!I53)*Assumptions!$H$49/12</f>
        <v/>
      </c>
      <c r="J43" s="25">
        <f>(Livestock!J29+Livestock!J53)*Assumptions!$H$49/12</f>
        <v/>
      </c>
      <c r="K43" s="25">
        <f>(Livestock!K29+Livestock!K53)*Assumptions!$H$49/12</f>
        <v/>
      </c>
      <c r="L43" s="25">
        <f>(Livestock!L29+Livestock!L53)*Assumptions!$H$49/12</f>
        <v/>
      </c>
      <c r="M43" s="25">
        <f>(Livestock!M29+Livestock!M53)*Assumptions!$H$49/12</f>
        <v/>
      </c>
      <c r="N43" s="25">
        <f>(Livestock!N29+Livestock!N53)*Assumptions!$H$49/12</f>
        <v/>
      </c>
      <c r="O43" s="25">
        <f>(Livestock!O29+Livestock!O53)*Assumptions!$H$49/12</f>
        <v/>
      </c>
      <c r="P43" s="25">
        <f>(Livestock!P29+Livestock!P53)*Assumptions!$H$49/12</f>
        <v/>
      </c>
      <c r="Q43" s="25">
        <f>(Livestock!Q29+Livestock!Q53)*Assumptions!$H$49/12</f>
        <v/>
      </c>
      <c r="R43" s="25">
        <f>(Livestock!R29+Livestock!R53)*Assumptions!$H$49/12</f>
        <v/>
      </c>
      <c r="S43" s="25">
        <f>(Livestock!S29+Livestock!S53)*Assumptions!$H$49/12</f>
        <v/>
      </c>
      <c r="T43" s="25">
        <f>(Livestock!T29+Livestock!T53)*Assumptions!$H$49/12</f>
        <v/>
      </c>
      <c r="U43" s="25">
        <f>(Livestock!U29+Livestock!U53)*Assumptions!$H$49/12</f>
        <v/>
      </c>
      <c r="V43" s="25">
        <f>(Livestock!V29+Livestock!V53)*Assumptions!$H$49/12</f>
        <v/>
      </c>
      <c r="W43" s="25">
        <f>(Livestock!W29+Livestock!W53)*Assumptions!$H$49/12</f>
        <v/>
      </c>
      <c r="X43" s="25">
        <f>(Livestock!X29+Livestock!X53)*Assumptions!$H$49/12</f>
        <v/>
      </c>
      <c r="Y43" s="25">
        <f>(Livestock!Y29+Livestock!Y53)*Assumptions!$H$49/12</f>
        <v/>
      </c>
      <c r="Z43" s="25">
        <f>(Livestock!Z29+Livestock!Z53)*Assumptions!$H$49/12</f>
        <v/>
      </c>
      <c r="AA43" s="25">
        <f>(Livestock!AA29+Livestock!AA53)*Assumptions!$H$49/12</f>
        <v/>
      </c>
      <c r="AB43" s="25">
        <f>(Livestock!AB29+Livestock!AB53)*Assumptions!$H$49/12</f>
        <v/>
      </c>
      <c r="AC43" s="25">
        <f>(Livestock!AC29+Livestock!AC53)*Assumptions!$H$49/12</f>
        <v/>
      </c>
      <c r="AD43" s="25">
        <f>(Livestock!AD29+Livestock!AD53)*Assumptions!$H$49/12</f>
        <v/>
      </c>
      <c r="AE43" s="25">
        <f>(Livestock!AE29+Livestock!AE53)*Assumptions!$H$49/12</f>
        <v/>
      </c>
      <c r="AF43" s="25">
        <f>(Livestock!AF29+Livestock!AF53)*Assumptions!$H$49/12</f>
        <v/>
      </c>
      <c r="AG43" s="25">
        <f>(Livestock!AG29+Livestock!AG53)*Assumptions!$H$49/12</f>
        <v/>
      </c>
      <c r="AH43" s="25">
        <f>(Livestock!AH29+Livestock!AH53)*Assumptions!$H$49/12</f>
        <v/>
      </c>
      <c r="AI43" s="25">
        <f>(Livestock!AI29+Livestock!AI53)*Assumptions!$H$49/12</f>
        <v/>
      </c>
      <c r="AJ43" s="25">
        <f>(Livestock!AJ29+Livestock!AJ53)*Assumptions!$H$49/12</f>
        <v/>
      </c>
      <c r="AK43" s="25">
        <f>(Livestock!AK29+Livestock!AK53)*Assumptions!$H$49/12</f>
        <v/>
      </c>
      <c r="AL43" s="25">
        <f>(Livestock!AL29+Livestock!AL53)*Assumptions!$H$49/12</f>
        <v/>
      </c>
      <c r="AM43" s="25">
        <f>(Livestock!AM29+Livestock!AM53)*Assumptions!$H$49/12</f>
        <v/>
      </c>
      <c r="AN43" s="25">
        <f>(Livestock!AN29+Livestock!AN53)*Assumptions!$H$49/12</f>
        <v/>
      </c>
      <c r="AO43" s="25">
        <f>(Livestock!AO29+Livestock!AO53)*Assumptions!$H$49/12</f>
        <v/>
      </c>
      <c r="AP43" s="25">
        <f>(Livestock!AP29+Livestock!AP53)*Assumptions!$H$49/12</f>
        <v/>
      </c>
      <c r="AQ43" s="25">
        <f>(Livestock!AQ29+Livestock!AQ53)*Assumptions!$H$49/12</f>
        <v/>
      </c>
      <c r="AR43" s="25">
        <f>(Livestock!AR29+Livestock!AR53)*Assumptions!$H$49/12</f>
        <v/>
      </c>
      <c r="AS43" s="25">
        <f>(Livestock!AS29+Livestock!AS53)*Assumptions!$H$49/12</f>
        <v/>
      </c>
      <c r="AT43" s="25">
        <f>(Livestock!AT29+Livestock!AT53)*Assumptions!$H$49/12</f>
        <v/>
      </c>
      <c r="AU43" s="25">
        <f>(Livestock!AU29+Livestock!AU53)*Assumptions!$H$49/12</f>
        <v/>
      </c>
      <c r="AV43" s="25">
        <f>(Livestock!AV29+Livestock!AV53)*Assumptions!$H$49/12</f>
        <v/>
      </c>
      <c r="AW43" s="25">
        <f>(Livestock!AW29+Livestock!AW53)*Assumptions!$H$49/12</f>
        <v/>
      </c>
      <c r="AX43" s="25">
        <f>(Livestock!AX29+Livestock!AX53)*Assumptions!$H$49/12</f>
        <v/>
      </c>
      <c r="AY43" s="25">
        <f>(Livestock!AY29+Livestock!AY53)*Assumptions!$H$49/12</f>
        <v/>
      </c>
      <c r="AZ43" s="25">
        <f>(Livestock!AZ29+Livestock!AZ53)*Assumptions!$H$49/12</f>
        <v/>
      </c>
      <c r="BA43" s="25">
        <f>(Livestock!BA29+Livestock!BA53)*Assumptions!$H$49/12</f>
        <v/>
      </c>
      <c r="BB43" s="25">
        <f>(Livestock!BB29+Livestock!BB53)*Assumptions!$H$49/12</f>
        <v/>
      </c>
      <c r="BC43" s="25">
        <f>(Livestock!BC29+Livestock!BC53)*Assumptions!$H$49/12</f>
        <v/>
      </c>
      <c r="BD43" s="25">
        <f>(Livestock!BD29+Livestock!BD53)*Assumptions!$H$49/12</f>
        <v/>
      </c>
      <c r="BE43" s="25">
        <f>(Livestock!BE29+Livestock!BE53)*Assumptions!$H$49/12</f>
        <v/>
      </c>
      <c r="BF43" s="25">
        <f>(Livestock!BF29+Livestock!BF53)*Assumptions!$H$49/12</f>
        <v/>
      </c>
      <c r="BG43" s="25">
        <f>(Livestock!BG29+Livestock!BG53)*Assumptions!$H$49/12</f>
        <v/>
      </c>
      <c r="BH43" s="25">
        <f>(Livestock!BH29+Livestock!BH53)*Assumptions!$H$49/12</f>
        <v/>
      </c>
      <c r="BI43" s="25">
        <f>(Livestock!BI29+Livestock!BI53)*Assumptions!$H$49/12</f>
        <v/>
      </c>
      <c r="BJ43" s="25">
        <f>(Livestock!BJ29+Livestock!BJ53)*Assumptions!$H$49/12</f>
        <v/>
      </c>
      <c r="BK43" s="25">
        <f>(Livestock!BK29+Livestock!BK53)*Assumptions!$H$49/12</f>
        <v/>
      </c>
      <c r="BL43" s="25">
        <f>(Livestock!BL29+Livestock!BL53)*Assumptions!$H$49/12</f>
        <v/>
      </c>
      <c r="BM43" s="25">
        <f>(Livestock!BM29+Livestock!BM53)*Assumptions!$H$49/12</f>
        <v/>
      </c>
      <c r="BN43" s="25">
        <f>(Livestock!BN29+Livestock!BN53)*Assumptions!$H$49/12</f>
        <v/>
      </c>
      <c r="BO43" s="25">
        <f>(Livestock!BO29+Livestock!BO53)*Assumptions!$H$49/12</f>
        <v/>
      </c>
      <c r="BP43" s="25">
        <f>(Livestock!BP29+Livestock!BP53)*Assumptions!$H$49/12</f>
        <v/>
      </c>
      <c r="BQ43" s="25">
        <f>(Livestock!BQ29+Livestock!BQ53)*Assumptions!$H$49/12</f>
        <v/>
      </c>
      <c r="BR43" s="25">
        <f>(Livestock!BR29+Livestock!BR53)*Assumptions!$H$49/12</f>
        <v/>
      </c>
      <c r="BS43" s="25">
        <f>(Livestock!BS29+Livestock!BS53)*Assumptions!$H$49/12</f>
        <v/>
      </c>
      <c r="BT43" s="25">
        <f>(Livestock!BT29+Livestock!BT53)*Assumptions!$H$49/12</f>
        <v/>
      </c>
      <c r="BU43" s="25">
        <f>(Livestock!BU29+Livestock!BU53)*Assumptions!$H$49/12</f>
        <v/>
      </c>
      <c r="BV43" s="25">
        <f>(Livestock!BV29+Livestock!BV53)*Assumptions!$H$49/12</f>
        <v/>
      </c>
      <c r="BW43" s="25">
        <f>(Livestock!BW29+Livestock!BW53)*Assumptions!$H$49/12</f>
        <v/>
      </c>
      <c r="BX43" s="25">
        <f>(Livestock!BX29+Livestock!BX53)*Assumptions!$H$49/12</f>
        <v/>
      </c>
      <c r="BY43" s="25">
        <f>(Livestock!BY29+Livestock!BY53)*Assumptions!$H$49/12</f>
        <v/>
      </c>
      <c r="BZ43" s="25">
        <f>(Livestock!BZ29+Livestock!BZ53)*Assumptions!$H$49/12</f>
        <v/>
      </c>
      <c r="CA43" s="25">
        <f>(Livestock!CA29+Livestock!CA53)*Assumptions!$H$49/12</f>
        <v/>
      </c>
      <c r="CB43" s="25">
        <f>(Livestock!CB29+Livestock!CB53)*Assumptions!$H$49/12</f>
        <v/>
      </c>
      <c r="CC43" s="25">
        <f>(Livestock!CC29+Livestock!CC53)*Assumptions!$H$49/12</f>
        <v/>
      </c>
      <c r="CD43" s="25">
        <f>(Livestock!CD29+Livestock!CD53)*Assumptions!$H$49/12</f>
        <v/>
      </c>
      <c r="CE43" s="25">
        <f>(Livestock!CE29+Livestock!CE53)*Assumptions!$H$49/12</f>
        <v/>
      </c>
      <c r="CF43" s="25">
        <f>(Livestock!CF29+Livestock!CF53)*Assumptions!$H$49/12</f>
        <v/>
      </c>
      <c r="CG43" s="25">
        <f>(Livestock!CG29+Livestock!CG53)*Assumptions!$H$49/12</f>
        <v/>
      </c>
      <c r="CH43" s="25">
        <f>(Livestock!CH29+Livestock!CH53)*Assumptions!$H$49/12</f>
        <v/>
      </c>
      <c r="CI43" s="25">
        <f>(Livestock!CI29+Livestock!CI53)*Assumptions!$H$49/12</f>
        <v/>
      </c>
      <c r="CJ43" s="25">
        <f>(Livestock!CJ29+Livestock!CJ53)*Assumptions!$H$49/12</f>
        <v/>
      </c>
      <c r="CK43" s="25">
        <f>(Livestock!CK29+Livestock!CK53)*Assumptions!$H$49/12</f>
        <v/>
      </c>
      <c r="CL43" s="25">
        <f>(Livestock!CL29+Livestock!CL53)*Assumptions!$H$49/12</f>
        <v/>
      </c>
      <c r="CM43" s="25">
        <f>(Livestock!CM29+Livestock!CM53)*Assumptions!$H$49/12</f>
        <v/>
      </c>
      <c r="CN43" s="25">
        <f>(Livestock!CN29+Livestock!CN53)*Assumptions!$H$49/12</f>
        <v/>
      </c>
      <c r="CO43" s="25">
        <f>(Livestock!CO29+Livestock!CO53)*Assumptions!$H$49/12</f>
        <v/>
      </c>
      <c r="CP43" s="25">
        <f>(Livestock!CP29+Livestock!CP53)*Assumptions!$H$49/12</f>
        <v/>
      </c>
      <c r="CQ43" s="25">
        <f>(Livestock!CQ29+Livestock!CQ53)*Assumptions!$H$49/12</f>
        <v/>
      </c>
      <c r="CR43" s="25">
        <f>(Livestock!CR29+Livestock!CR53)*Assumptions!$H$49/12</f>
        <v/>
      </c>
      <c r="CS43" s="25">
        <f>(Livestock!CS29+Livestock!CS53)*Assumptions!$H$49/12</f>
        <v/>
      </c>
      <c r="CT43" s="25">
        <f>(Livestock!CT29+Livestock!CT53)*Assumptions!$H$49/12</f>
        <v/>
      </c>
      <c r="CU43" s="25">
        <f>(Livestock!CU29+Livestock!CU53)*Assumptions!$H$49/12</f>
        <v/>
      </c>
      <c r="CV43" s="25">
        <f>(Livestock!CV29+Livestock!CV53)*Assumptions!$H$49/12</f>
        <v/>
      </c>
      <c r="CW43" s="25">
        <f>(Livestock!CW29+Livestock!CW53)*Assumptions!$H$49/12</f>
        <v/>
      </c>
      <c r="CX43" s="25">
        <f>(Livestock!CX29+Livestock!CX53)*Assumptions!$H$49/12</f>
        <v/>
      </c>
      <c r="CY43" s="25">
        <f>(Livestock!CY29+Livestock!CY53)*Assumptions!$H$49/12</f>
        <v/>
      </c>
      <c r="CZ43" s="25">
        <f>(Livestock!CZ29+Livestock!CZ53)*Assumptions!$H$49/12</f>
        <v/>
      </c>
      <c r="DA43" s="25">
        <f>(Livestock!DA29+Livestock!DA53)*Assumptions!$H$49/12</f>
        <v/>
      </c>
      <c r="DB43" s="25">
        <f>(Livestock!DB29+Livestock!DB53)*Assumptions!$H$49/12</f>
        <v/>
      </c>
      <c r="DC43" s="25">
        <f>(Livestock!DC29+Livestock!DC53)*Assumptions!$H$49/12</f>
        <v/>
      </c>
      <c r="DD43" s="25">
        <f>(Livestock!DD29+Livestock!DD53)*Assumptions!$H$49/12</f>
        <v/>
      </c>
      <c r="DE43" s="25">
        <f>(Livestock!DE29+Livestock!DE53)*Assumptions!$H$49/12</f>
        <v/>
      </c>
      <c r="DF43" s="25">
        <f>(Livestock!DF29+Livestock!DF53)*Assumptions!$H$49/12</f>
        <v/>
      </c>
      <c r="DG43" s="25">
        <f>(Livestock!DG29+Livestock!DG53)*Assumptions!$H$49/12</f>
        <v/>
      </c>
      <c r="DH43" s="25">
        <f>(Livestock!DH29+Livestock!DH53)*Assumptions!$H$49/12</f>
        <v/>
      </c>
      <c r="DI43" s="25">
        <f>(Livestock!DI29+Livestock!DI53)*Assumptions!$H$49/12</f>
        <v/>
      </c>
      <c r="DJ43" s="25">
        <f>(Livestock!DJ29+Livestock!DJ53)*Assumptions!$H$49/12</f>
        <v/>
      </c>
      <c r="DK43" s="25">
        <f>(Livestock!DK29+Livestock!DK53)*Assumptions!$H$49/12</f>
        <v/>
      </c>
      <c r="DL43" s="25">
        <f>(Livestock!DL29+Livestock!DL53)*Assumptions!$H$49/12</f>
        <v/>
      </c>
      <c r="DM43" s="25">
        <f>(Livestock!DM29+Livestock!DM53)*Assumptions!$H$49/12</f>
        <v/>
      </c>
      <c r="DN43" s="25">
        <f>(Livestock!DN29+Livestock!DN53)*Assumptions!$H$49/12</f>
        <v/>
      </c>
      <c r="DO43" s="25">
        <f>(Livestock!DO29+Livestock!DO53)*Assumptions!$H$49/12</f>
        <v/>
      </c>
      <c r="DP43" s="25">
        <f>(Livestock!DP29+Livestock!DP53)*Assumptions!$H$49/12</f>
        <v/>
      </c>
      <c r="DQ43" s="25">
        <f>(Livestock!DQ29+Livestock!DQ53)*Assumptions!$H$49/12</f>
        <v/>
      </c>
      <c r="DR43" s="25">
        <f>(Livestock!DR29+Livestock!DR53)*Assumptions!$H$49/12</f>
        <v/>
      </c>
      <c r="DS43" s="25">
        <f>(Livestock!DS29+Livestock!DS53)*Assumptions!$H$49/12</f>
        <v/>
      </c>
    </row>
    <row r="44">
      <c r="A44" s="2" t="inlineStr">
        <is>
          <t>CF_RM</t>
        </is>
      </c>
      <c r="B44" s="6" t="inlineStr">
        <is>
          <t>Repairs and maintenance</t>
        </is>
      </c>
      <c r="C44" s="2" t="inlineStr">
        <is>
          <t>RWF</t>
        </is>
      </c>
      <c r="D44" s="25">
        <f>SUMIF(CapEx!$I$5:$I$34,"&lt;"&amp;D$3,CapEx!$H$5:$H$34)*(1+Assumptions!$H$10)*Assumptions!$H$12/12</f>
        <v/>
      </c>
      <c r="E44" s="25">
        <f>SUMIF(CapEx!$I$5:$I$34,"&lt;"&amp;E$3,CapEx!$H$5:$H$34)*(1+Assumptions!$H$10)*Assumptions!$H$12/12</f>
        <v/>
      </c>
      <c r="F44" s="25">
        <f>SUMIF(CapEx!$I$5:$I$34,"&lt;"&amp;F$3,CapEx!$H$5:$H$34)*(1+Assumptions!$H$10)*Assumptions!$H$12/12</f>
        <v/>
      </c>
      <c r="G44" s="25">
        <f>SUMIF(CapEx!$I$5:$I$34,"&lt;"&amp;G$3,CapEx!$H$5:$H$34)*(1+Assumptions!$H$10)*Assumptions!$H$12/12</f>
        <v/>
      </c>
      <c r="H44" s="25">
        <f>SUMIF(CapEx!$I$5:$I$34,"&lt;"&amp;H$3,CapEx!$H$5:$H$34)*(1+Assumptions!$H$10)*Assumptions!$H$12/12</f>
        <v/>
      </c>
      <c r="I44" s="25">
        <f>SUMIF(CapEx!$I$5:$I$34,"&lt;"&amp;I$3,CapEx!$H$5:$H$34)*(1+Assumptions!$H$10)*Assumptions!$H$12/12</f>
        <v/>
      </c>
      <c r="J44" s="25">
        <f>SUMIF(CapEx!$I$5:$I$34,"&lt;"&amp;J$3,CapEx!$H$5:$H$34)*(1+Assumptions!$H$10)*Assumptions!$H$12/12</f>
        <v/>
      </c>
      <c r="K44" s="25">
        <f>SUMIF(CapEx!$I$5:$I$34,"&lt;"&amp;K$3,CapEx!$H$5:$H$34)*(1+Assumptions!$H$10)*Assumptions!$H$12/12</f>
        <v/>
      </c>
      <c r="L44" s="25">
        <f>SUMIF(CapEx!$I$5:$I$34,"&lt;"&amp;L$3,CapEx!$H$5:$H$34)*(1+Assumptions!$H$10)*Assumptions!$H$12/12</f>
        <v/>
      </c>
      <c r="M44" s="25">
        <f>SUMIF(CapEx!$I$5:$I$34,"&lt;"&amp;M$3,CapEx!$H$5:$H$34)*(1+Assumptions!$H$10)*Assumptions!$H$12/12</f>
        <v/>
      </c>
      <c r="N44" s="25">
        <f>SUMIF(CapEx!$I$5:$I$34,"&lt;"&amp;N$3,CapEx!$H$5:$H$34)*(1+Assumptions!$H$10)*Assumptions!$H$12/12</f>
        <v/>
      </c>
      <c r="O44" s="25">
        <f>SUMIF(CapEx!$I$5:$I$34,"&lt;"&amp;O$3,CapEx!$H$5:$H$34)*(1+Assumptions!$H$10)*Assumptions!$H$12/12</f>
        <v/>
      </c>
      <c r="P44" s="25">
        <f>SUMIF(CapEx!$I$5:$I$34,"&lt;"&amp;P$3,CapEx!$H$5:$H$34)*(1+Assumptions!$H$10)*Assumptions!$H$12/12</f>
        <v/>
      </c>
      <c r="Q44" s="25">
        <f>SUMIF(CapEx!$I$5:$I$34,"&lt;"&amp;Q$3,CapEx!$H$5:$H$34)*(1+Assumptions!$H$10)*Assumptions!$H$12/12</f>
        <v/>
      </c>
      <c r="R44" s="25">
        <f>SUMIF(CapEx!$I$5:$I$34,"&lt;"&amp;R$3,CapEx!$H$5:$H$34)*(1+Assumptions!$H$10)*Assumptions!$H$12/12</f>
        <v/>
      </c>
      <c r="S44" s="25">
        <f>SUMIF(CapEx!$I$5:$I$34,"&lt;"&amp;S$3,CapEx!$H$5:$H$34)*(1+Assumptions!$H$10)*Assumptions!$H$12/12</f>
        <v/>
      </c>
      <c r="T44" s="25">
        <f>SUMIF(CapEx!$I$5:$I$34,"&lt;"&amp;T$3,CapEx!$H$5:$H$34)*(1+Assumptions!$H$10)*Assumptions!$H$12/12</f>
        <v/>
      </c>
      <c r="U44" s="25">
        <f>SUMIF(CapEx!$I$5:$I$34,"&lt;"&amp;U$3,CapEx!$H$5:$H$34)*(1+Assumptions!$H$10)*Assumptions!$H$12/12</f>
        <v/>
      </c>
      <c r="V44" s="25">
        <f>SUMIF(CapEx!$I$5:$I$34,"&lt;"&amp;V$3,CapEx!$H$5:$H$34)*(1+Assumptions!$H$10)*Assumptions!$H$12/12</f>
        <v/>
      </c>
      <c r="W44" s="25">
        <f>SUMIF(CapEx!$I$5:$I$34,"&lt;"&amp;W$3,CapEx!$H$5:$H$34)*(1+Assumptions!$H$10)*Assumptions!$H$12/12</f>
        <v/>
      </c>
      <c r="X44" s="25">
        <f>SUMIF(CapEx!$I$5:$I$34,"&lt;"&amp;X$3,CapEx!$H$5:$H$34)*(1+Assumptions!$H$10)*Assumptions!$H$12/12</f>
        <v/>
      </c>
      <c r="Y44" s="25">
        <f>SUMIF(CapEx!$I$5:$I$34,"&lt;"&amp;Y$3,CapEx!$H$5:$H$34)*(1+Assumptions!$H$10)*Assumptions!$H$12/12</f>
        <v/>
      </c>
      <c r="Z44" s="25">
        <f>SUMIF(CapEx!$I$5:$I$34,"&lt;"&amp;Z$3,CapEx!$H$5:$H$34)*(1+Assumptions!$H$10)*Assumptions!$H$12/12</f>
        <v/>
      </c>
      <c r="AA44" s="25">
        <f>SUMIF(CapEx!$I$5:$I$34,"&lt;"&amp;AA$3,CapEx!$H$5:$H$34)*(1+Assumptions!$H$10)*Assumptions!$H$12/12</f>
        <v/>
      </c>
      <c r="AB44" s="25">
        <f>SUMIF(CapEx!$I$5:$I$34,"&lt;"&amp;AB$3,CapEx!$H$5:$H$34)*(1+Assumptions!$H$10)*Assumptions!$H$12/12</f>
        <v/>
      </c>
      <c r="AC44" s="25">
        <f>SUMIF(CapEx!$I$5:$I$34,"&lt;"&amp;AC$3,CapEx!$H$5:$H$34)*(1+Assumptions!$H$10)*Assumptions!$H$12/12</f>
        <v/>
      </c>
      <c r="AD44" s="25">
        <f>SUMIF(CapEx!$I$5:$I$34,"&lt;"&amp;AD$3,CapEx!$H$5:$H$34)*(1+Assumptions!$H$10)*Assumptions!$H$12/12</f>
        <v/>
      </c>
      <c r="AE44" s="25">
        <f>SUMIF(CapEx!$I$5:$I$34,"&lt;"&amp;AE$3,CapEx!$H$5:$H$34)*(1+Assumptions!$H$10)*Assumptions!$H$12/12</f>
        <v/>
      </c>
      <c r="AF44" s="25">
        <f>SUMIF(CapEx!$I$5:$I$34,"&lt;"&amp;AF$3,CapEx!$H$5:$H$34)*(1+Assumptions!$H$10)*Assumptions!$H$12/12</f>
        <v/>
      </c>
      <c r="AG44" s="25">
        <f>SUMIF(CapEx!$I$5:$I$34,"&lt;"&amp;AG$3,CapEx!$H$5:$H$34)*(1+Assumptions!$H$10)*Assumptions!$H$12/12</f>
        <v/>
      </c>
      <c r="AH44" s="25">
        <f>SUMIF(CapEx!$I$5:$I$34,"&lt;"&amp;AH$3,CapEx!$H$5:$H$34)*(1+Assumptions!$H$10)*Assumptions!$H$12/12</f>
        <v/>
      </c>
      <c r="AI44" s="25">
        <f>SUMIF(CapEx!$I$5:$I$34,"&lt;"&amp;AI$3,CapEx!$H$5:$H$34)*(1+Assumptions!$H$10)*Assumptions!$H$12/12</f>
        <v/>
      </c>
      <c r="AJ44" s="25">
        <f>SUMIF(CapEx!$I$5:$I$34,"&lt;"&amp;AJ$3,CapEx!$H$5:$H$34)*(1+Assumptions!$H$10)*Assumptions!$H$12/12</f>
        <v/>
      </c>
      <c r="AK44" s="25">
        <f>SUMIF(CapEx!$I$5:$I$34,"&lt;"&amp;AK$3,CapEx!$H$5:$H$34)*(1+Assumptions!$H$10)*Assumptions!$H$12/12</f>
        <v/>
      </c>
      <c r="AL44" s="25">
        <f>SUMIF(CapEx!$I$5:$I$34,"&lt;"&amp;AL$3,CapEx!$H$5:$H$34)*(1+Assumptions!$H$10)*Assumptions!$H$12/12</f>
        <v/>
      </c>
      <c r="AM44" s="25">
        <f>SUMIF(CapEx!$I$5:$I$34,"&lt;"&amp;AM$3,CapEx!$H$5:$H$34)*(1+Assumptions!$H$10)*Assumptions!$H$12/12</f>
        <v/>
      </c>
      <c r="AN44" s="25">
        <f>SUMIF(CapEx!$I$5:$I$34,"&lt;"&amp;AN$3,CapEx!$H$5:$H$34)*(1+Assumptions!$H$10)*Assumptions!$H$12/12</f>
        <v/>
      </c>
      <c r="AO44" s="25">
        <f>SUMIF(CapEx!$I$5:$I$34,"&lt;"&amp;AO$3,CapEx!$H$5:$H$34)*(1+Assumptions!$H$10)*Assumptions!$H$12/12</f>
        <v/>
      </c>
      <c r="AP44" s="25">
        <f>SUMIF(CapEx!$I$5:$I$34,"&lt;"&amp;AP$3,CapEx!$H$5:$H$34)*(1+Assumptions!$H$10)*Assumptions!$H$12/12</f>
        <v/>
      </c>
      <c r="AQ44" s="25">
        <f>SUMIF(CapEx!$I$5:$I$34,"&lt;"&amp;AQ$3,CapEx!$H$5:$H$34)*(1+Assumptions!$H$10)*Assumptions!$H$12/12</f>
        <v/>
      </c>
      <c r="AR44" s="25">
        <f>SUMIF(CapEx!$I$5:$I$34,"&lt;"&amp;AR$3,CapEx!$H$5:$H$34)*(1+Assumptions!$H$10)*Assumptions!$H$12/12</f>
        <v/>
      </c>
      <c r="AS44" s="25">
        <f>SUMIF(CapEx!$I$5:$I$34,"&lt;"&amp;AS$3,CapEx!$H$5:$H$34)*(1+Assumptions!$H$10)*Assumptions!$H$12/12</f>
        <v/>
      </c>
      <c r="AT44" s="25">
        <f>SUMIF(CapEx!$I$5:$I$34,"&lt;"&amp;AT$3,CapEx!$H$5:$H$34)*(1+Assumptions!$H$10)*Assumptions!$H$12/12</f>
        <v/>
      </c>
      <c r="AU44" s="25">
        <f>SUMIF(CapEx!$I$5:$I$34,"&lt;"&amp;AU$3,CapEx!$H$5:$H$34)*(1+Assumptions!$H$10)*Assumptions!$H$12/12</f>
        <v/>
      </c>
      <c r="AV44" s="25">
        <f>SUMIF(CapEx!$I$5:$I$34,"&lt;"&amp;AV$3,CapEx!$H$5:$H$34)*(1+Assumptions!$H$10)*Assumptions!$H$12/12</f>
        <v/>
      </c>
      <c r="AW44" s="25">
        <f>SUMIF(CapEx!$I$5:$I$34,"&lt;"&amp;AW$3,CapEx!$H$5:$H$34)*(1+Assumptions!$H$10)*Assumptions!$H$12/12</f>
        <v/>
      </c>
      <c r="AX44" s="25">
        <f>SUMIF(CapEx!$I$5:$I$34,"&lt;"&amp;AX$3,CapEx!$H$5:$H$34)*(1+Assumptions!$H$10)*Assumptions!$H$12/12</f>
        <v/>
      </c>
      <c r="AY44" s="25">
        <f>SUMIF(CapEx!$I$5:$I$34,"&lt;"&amp;AY$3,CapEx!$H$5:$H$34)*(1+Assumptions!$H$10)*Assumptions!$H$12/12</f>
        <v/>
      </c>
      <c r="AZ44" s="25">
        <f>SUMIF(CapEx!$I$5:$I$34,"&lt;"&amp;AZ$3,CapEx!$H$5:$H$34)*(1+Assumptions!$H$10)*Assumptions!$H$12/12</f>
        <v/>
      </c>
      <c r="BA44" s="25">
        <f>SUMIF(CapEx!$I$5:$I$34,"&lt;"&amp;BA$3,CapEx!$H$5:$H$34)*(1+Assumptions!$H$10)*Assumptions!$H$12/12</f>
        <v/>
      </c>
      <c r="BB44" s="25">
        <f>SUMIF(CapEx!$I$5:$I$34,"&lt;"&amp;BB$3,CapEx!$H$5:$H$34)*(1+Assumptions!$H$10)*Assumptions!$H$12/12</f>
        <v/>
      </c>
      <c r="BC44" s="25">
        <f>SUMIF(CapEx!$I$5:$I$34,"&lt;"&amp;BC$3,CapEx!$H$5:$H$34)*(1+Assumptions!$H$10)*Assumptions!$H$12/12</f>
        <v/>
      </c>
      <c r="BD44" s="25">
        <f>SUMIF(CapEx!$I$5:$I$34,"&lt;"&amp;BD$3,CapEx!$H$5:$H$34)*(1+Assumptions!$H$10)*Assumptions!$H$12/12</f>
        <v/>
      </c>
      <c r="BE44" s="25">
        <f>SUMIF(CapEx!$I$5:$I$34,"&lt;"&amp;BE$3,CapEx!$H$5:$H$34)*(1+Assumptions!$H$10)*Assumptions!$H$12/12</f>
        <v/>
      </c>
      <c r="BF44" s="25">
        <f>SUMIF(CapEx!$I$5:$I$34,"&lt;"&amp;BF$3,CapEx!$H$5:$H$34)*(1+Assumptions!$H$10)*Assumptions!$H$12/12</f>
        <v/>
      </c>
      <c r="BG44" s="25">
        <f>SUMIF(CapEx!$I$5:$I$34,"&lt;"&amp;BG$3,CapEx!$H$5:$H$34)*(1+Assumptions!$H$10)*Assumptions!$H$12/12</f>
        <v/>
      </c>
      <c r="BH44" s="25">
        <f>SUMIF(CapEx!$I$5:$I$34,"&lt;"&amp;BH$3,CapEx!$H$5:$H$34)*(1+Assumptions!$H$10)*Assumptions!$H$12/12</f>
        <v/>
      </c>
      <c r="BI44" s="25">
        <f>SUMIF(CapEx!$I$5:$I$34,"&lt;"&amp;BI$3,CapEx!$H$5:$H$34)*(1+Assumptions!$H$10)*Assumptions!$H$12/12</f>
        <v/>
      </c>
      <c r="BJ44" s="25">
        <f>SUMIF(CapEx!$I$5:$I$34,"&lt;"&amp;BJ$3,CapEx!$H$5:$H$34)*(1+Assumptions!$H$10)*Assumptions!$H$12/12</f>
        <v/>
      </c>
      <c r="BK44" s="25">
        <f>SUMIF(CapEx!$I$5:$I$34,"&lt;"&amp;BK$3,CapEx!$H$5:$H$34)*(1+Assumptions!$H$10)*Assumptions!$H$12/12</f>
        <v/>
      </c>
      <c r="BL44" s="25">
        <f>SUMIF(CapEx!$I$5:$I$34,"&lt;"&amp;BL$3,CapEx!$H$5:$H$34)*(1+Assumptions!$H$10)*Assumptions!$H$12/12</f>
        <v/>
      </c>
      <c r="BM44" s="25">
        <f>SUMIF(CapEx!$I$5:$I$34,"&lt;"&amp;BM$3,CapEx!$H$5:$H$34)*(1+Assumptions!$H$10)*Assumptions!$H$12/12</f>
        <v/>
      </c>
      <c r="BN44" s="25">
        <f>SUMIF(CapEx!$I$5:$I$34,"&lt;"&amp;BN$3,CapEx!$H$5:$H$34)*(1+Assumptions!$H$10)*Assumptions!$H$12/12</f>
        <v/>
      </c>
      <c r="BO44" s="25">
        <f>SUMIF(CapEx!$I$5:$I$34,"&lt;"&amp;BO$3,CapEx!$H$5:$H$34)*(1+Assumptions!$H$10)*Assumptions!$H$12/12</f>
        <v/>
      </c>
      <c r="BP44" s="25">
        <f>SUMIF(CapEx!$I$5:$I$34,"&lt;"&amp;BP$3,CapEx!$H$5:$H$34)*(1+Assumptions!$H$10)*Assumptions!$H$12/12</f>
        <v/>
      </c>
      <c r="BQ44" s="25">
        <f>SUMIF(CapEx!$I$5:$I$34,"&lt;"&amp;BQ$3,CapEx!$H$5:$H$34)*(1+Assumptions!$H$10)*Assumptions!$H$12/12</f>
        <v/>
      </c>
      <c r="BR44" s="25">
        <f>SUMIF(CapEx!$I$5:$I$34,"&lt;"&amp;BR$3,CapEx!$H$5:$H$34)*(1+Assumptions!$H$10)*Assumptions!$H$12/12</f>
        <v/>
      </c>
      <c r="BS44" s="25">
        <f>SUMIF(CapEx!$I$5:$I$34,"&lt;"&amp;BS$3,CapEx!$H$5:$H$34)*(1+Assumptions!$H$10)*Assumptions!$H$12/12</f>
        <v/>
      </c>
      <c r="BT44" s="25">
        <f>SUMIF(CapEx!$I$5:$I$34,"&lt;"&amp;BT$3,CapEx!$H$5:$H$34)*(1+Assumptions!$H$10)*Assumptions!$H$12/12</f>
        <v/>
      </c>
      <c r="BU44" s="25">
        <f>SUMIF(CapEx!$I$5:$I$34,"&lt;"&amp;BU$3,CapEx!$H$5:$H$34)*(1+Assumptions!$H$10)*Assumptions!$H$12/12</f>
        <v/>
      </c>
      <c r="BV44" s="25">
        <f>SUMIF(CapEx!$I$5:$I$34,"&lt;"&amp;BV$3,CapEx!$H$5:$H$34)*(1+Assumptions!$H$10)*Assumptions!$H$12/12</f>
        <v/>
      </c>
      <c r="BW44" s="25">
        <f>SUMIF(CapEx!$I$5:$I$34,"&lt;"&amp;BW$3,CapEx!$H$5:$H$34)*(1+Assumptions!$H$10)*Assumptions!$H$12/12</f>
        <v/>
      </c>
      <c r="BX44" s="25">
        <f>SUMIF(CapEx!$I$5:$I$34,"&lt;"&amp;BX$3,CapEx!$H$5:$H$34)*(1+Assumptions!$H$10)*Assumptions!$H$12/12</f>
        <v/>
      </c>
      <c r="BY44" s="25">
        <f>SUMIF(CapEx!$I$5:$I$34,"&lt;"&amp;BY$3,CapEx!$H$5:$H$34)*(1+Assumptions!$H$10)*Assumptions!$H$12/12</f>
        <v/>
      </c>
      <c r="BZ44" s="25">
        <f>SUMIF(CapEx!$I$5:$I$34,"&lt;"&amp;BZ$3,CapEx!$H$5:$H$34)*(1+Assumptions!$H$10)*Assumptions!$H$12/12</f>
        <v/>
      </c>
      <c r="CA44" s="25">
        <f>SUMIF(CapEx!$I$5:$I$34,"&lt;"&amp;CA$3,CapEx!$H$5:$H$34)*(1+Assumptions!$H$10)*Assumptions!$H$12/12</f>
        <v/>
      </c>
      <c r="CB44" s="25">
        <f>SUMIF(CapEx!$I$5:$I$34,"&lt;"&amp;CB$3,CapEx!$H$5:$H$34)*(1+Assumptions!$H$10)*Assumptions!$H$12/12</f>
        <v/>
      </c>
      <c r="CC44" s="25">
        <f>SUMIF(CapEx!$I$5:$I$34,"&lt;"&amp;CC$3,CapEx!$H$5:$H$34)*(1+Assumptions!$H$10)*Assumptions!$H$12/12</f>
        <v/>
      </c>
      <c r="CD44" s="25">
        <f>SUMIF(CapEx!$I$5:$I$34,"&lt;"&amp;CD$3,CapEx!$H$5:$H$34)*(1+Assumptions!$H$10)*Assumptions!$H$12/12</f>
        <v/>
      </c>
      <c r="CE44" s="25">
        <f>SUMIF(CapEx!$I$5:$I$34,"&lt;"&amp;CE$3,CapEx!$H$5:$H$34)*(1+Assumptions!$H$10)*Assumptions!$H$12/12</f>
        <v/>
      </c>
      <c r="CF44" s="25">
        <f>SUMIF(CapEx!$I$5:$I$34,"&lt;"&amp;CF$3,CapEx!$H$5:$H$34)*(1+Assumptions!$H$10)*Assumptions!$H$12/12</f>
        <v/>
      </c>
      <c r="CG44" s="25">
        <f>SUMIF(CapEx!$I$5:$I$34,"&lt;"&amp;CG$3,CapEx!$H$5:$H$34)*(1+Assumptions!$H$10)*Assumptions!$H$12/12</f>
        <v/>
      </c>
      <c r="CH44" s="25">
        <f>SUMIF(CapEx!$I$5:$I$34,"&lt;"&amp;CH$3,CapEx!$H$5:$H$34)*(1+Assumptions!$H$10)*Assumptions!$H$12/12</f>
        <v/>
      </c>
      <c r="CI44" s="25">
        <f>SUMIF(CapEx!$I$5:$I$34,"&lt;"&amp;CI$3,CapEx!$H$5:$H$34)*(1+Assumptions!$H$10)*Assumptions!$H$12/12</f>
        <v/>
      </c>
      <c r="CJ44" s="25">
        <f>SUMIF(CapEx!$I$5:$I$34,"&lt;"&amp;CJ$3,CapEx!$H$5:$H$34)*(1+Assumptions!$H$10)*Assumptions!$H$12/12</f>
        <v/>
      </c>
      <c r="CK44" s="25">
        <f>SUMIF(CapEx!$I$5:$I$34,"&lt;"&amp;CK$3,CapEx!$H$5:$H$34)*(1+Assumptions!$H$10)*Assumptions!$H$12/12</f>
        <v/>
      </c>
      <c r="CL44" s="25">
        <f>SUMIF(CapEx!$I$5:$I$34,"&lt;"&amp;CL$3,CapEx!$H$5:$H$34)*(1+Assumptions!$H$10)*Assumptions!$H$12/12</f>
        <v/>
      </c>
      <c r="CM44" s="25">
        <f>SUMIF(CapEx!$I$5:$I$34,"&lt;"&amp;CM$3,CapEx!$H$5:$H$34)*(1+Assumptions!$H$10)*Assumptions!$H$12/12</f>
        <v/>
      </c>
      <c r="CN44" s="25">
        <f>SUMIF(CapEx!$I$5:$I$34,"&lt;"&amp;CN$3,CapEx!$H$5:$H$34)*(1+Assumptions!$H$10)*Assumptions!$H$12/12</f>
        <v/>
      </c>
      <c r="CO44" s="25">
        <f>SUMIF(CapEx!$I$5:$I$34,"&lt;"&amp;CO$3,CapEx!$H$5:$H$34)*(1+Assumptions!$H$10)*Assumptions!$H$12/12</f>
        <v/>
      </c>
      <c r="CP44" s="25">
        <f>SUMIF(CapEx!$I$5:$I$34,"&lt;"&amp;CP$3,CapEx!$H$5:$H$34)*(1+Assumptions!$H$10)*Assumptions!$H$12/12</f>
        <v/>
      </c>
      <c r="CQ44" s="25">
        <f>SUMIF(CapEx!$I$5:$I$34,"&lt;"&amp;CQ$3,CapEx!$H$5:$H$34)*(1+Assumptions!$H$10)*Assumptions!$H$12/12</f>
        <v/>
      </c>
      <c r="CR44" s="25">
        <f>SUMIF(CapEx!$I$5:$I$34,"&lt;"&amp;CR$3,CapEx!$H$5:$H$34)*(1+Assumptions!$H$10)*Assumptions!$H$12/12</f>
        <v/>
      </c>
      <c r="CS44" s="25">
        <f>SUMIF(CapEx!$I$5:$I$34,"&lt;"&amp;CS$3,CapEx!$H$5:$H$34)*(1+Assumptions!$H$10)*Assumptions!$H$12/12</f>
        <v/>
      </c>
      <c r="CT44" s="25">
        <f>SUMIF(CapEx!$I$5:$I$34,"&lt;"&amp;CT$3,CapEx!$H$5:$H$34)*(1+Assumptions!$H$10)*Assumptions!$H$12/12</f>
        <v/>
      </c>
      <c r="CU44" s="25">
        <f>SUMIF(CapEx!$I$5:$I$34,"&lt;"&amp;CU$3,CapEx!$H$5:$H$34)*(1+Assumptions!$H$10)*Assumptions!$H$12/12</f>
        <v/>
      </c>
      <c r="CV44" s="25">
        <f>SUMIF(CapEx!$I$5:$I$34,"&lt;"&amp;CV$3,CapEx!$H$5:$H$34)*(1+Assumptions!$H$10)*Assumptions!$H$12/12</f>
        <v/>
      </c>
      <c r="CW44" s="25">
        <f>SUMIF(CapEx!$I$5:$I$34,"&lt;"&amp;CW$3,CapEx!$H$5:$H$34)*(1+Assumptions!$H$10)*Assumptions!$H$12/12</f>
        <v/>
      </c>
      <c r="CX44" s="25">
        <f>SUMIF(CapEx!$I$5:$I$34,"&lt;"&amp;CX$3,CapEx!$H$5:$H$34)*(1+Assumptions!$H$10)*Assumptions!$H$12/12</f>
        <v/>
      </c>
      <c r="CY44" s="25">
        <f>SUMIF(CapEx!$I$5:$I$34,"&lt;"&amp;CY$3,CapEx!$H$5:$H$34)*(1+Assumptions!$H$10)*Assumptions!$H$12/12</f>
        <v/>
      </c>
      <c r="CZ44" s="25">
        <f>SUMIF(CapEx!$I$5:$I$34,"&lt;"&amp;CZ$3,CapEx!$H$5:$H$34)*(1+Assumptions!$H$10)*Assumptions!$H$12/12</f>
        <v/>
      </c>
      <c r="DA44" s="25">
        <f>SUMIF(CapEx!$I$5:$I$34,"&lt;"&amp;DA$3,CapEx!$H$5:$H$34)*(1+Assumptions!$H$10)*Assumptions!$H$12/12</f>
        <v/>
      </c>
      <c r="DB44" s="25">
        <f>SUMIF(CapEx!$I$5:$I$34,"&lt;"&amp;DB$3,CapEx!$H$5:$H$34)*(1+Assumptions!$H$10)*Assumptions!$H$12/12</f>
        <v/>
      </c>
      <c r="DC44" s="25">
        <f>SUMIF(CapEx!$I$5:$I$34,"&lt;"&amp;DC$3,CapEx!$H$5:$H$34)*(1+Assumptions!$H$10)*Assumptions!$H$12/12</f>
        <v/>
      </c>
      <c r="DD44" s="25">
        <f>SUMIF(CapEx!$I$5:$I$34,"&lt;"&amp;DD$3,CapEx!$H$5:$H$34)*(1+Assumptions!$H$10)*Assumptions!$H$12/12</f>
        <v/>
      </c>
      <c r="DE44" s="25">
        <f>SUMIF(CapEx!$I$5:$I$34,"&lt;"&amp;DE$3,CapEx!$H$5:$H$34)*(1+Assumptions!$H$10)*Assumptions!$H$12/12</f>
        <v/>
      </c>
      <c r="DF44" s="25">
        <f>SUMIF(CapEx!$I$5:$I$34,"&lt;"&amp;DF$3,CapEx!$H$5:$H$34)*(1+Assumptions!$H$10)*Assumptions!$H$12/12</f>
        <v/>
      </c>
      <c r="DG44" s="25">
        <f>SUMIF(CapEx!$I$5:$I$34,"&lt;"&amp;DG$3,CapEx!$H$5:$H$34)*(1+Assumptions!$H$10)*Assumptions!$H$12/12</f>
        <v/>
      </c>
      <c r="DH44" s="25">
        <f>SUMIF(CapEx!$I$5:$I$34,"&lt;"&amp;DH$3,CapEx!$H$5:$H$34)*(1+Assumptions!$H$10)*Assumptions!$H$12/12</f>
        <v/>
      </c>
      <c r="DI44" s="25">
        <f>SUMIF(CapEx!$I$5:$I$34,"&lt;"&amp;DI$3,CapEx!$H$5:$H$34)*(1+Assumptions!$H$10)*Assumptions!$H$12/12</f>
        <v/>
      </c>
      <c r="DJ44" s="25">
        <f>SUMIF(CapEx!$I$5:$I$34,"&lt;"&amp;DJ$3,CapEx!$H$5:$H$34)*(1+Assumptions!$H$10)*Assumptions!$H$12/12</f>
        <v/>
      </c>
      <c r="DK44" s="25">
        <f>SUMIF(CapEx!$I$5:$I$34,"&lt;"&amp;DK$3,CapEx!$H$5:$H$34)*(1+Assumptions!$H$10)*Assumptions!$H$12/12</f>
        <v/>
      </c>
      <c r="DL44" s="25">
        <f>SUMIF(CapEx!$I$5:$I$34,"&lt;"&amp;DL$3,CapEx!$H$5:$H$34)*(1+Assumptions!$H$10)*Assumptions!$H$12/12</f>
        <v/>
      </c>
      <c r="DM44" s="25">
        <f>SUMIF(CapEx!$I$5:$I$34,"&lt;"&amp;DM$3,CapEx!$H$5:$H$34)*(1+Assumptions!$H$10)*Assumptions!$H$12/12</f>
        <v/>
      </c>
      <c r="DN44" s="25">
        <f>SUMIF(CapEx!$I$5:$I$34,"&lt;"&amp;DN$3,CapEx!$H$5:$H$34)*(1+Assumptions!$H$10)*Assumptions!$H$12/12</f>
        <v/>
      </c>
      <c r="DO44" s="25">
        <f>SUMIF(CapEx!$I$5:$I$34,"&lt;"&amp;DO$3,CapEx!$H$5:$H$34)*(1+Assumptions!$H$10)*Assumptions!$H$12/12</f>
        <v/>
      </c>
      <c r="DP44" s="25">
        <f>SUMIF(CapEx!$I$5:$I$34,"&lt;"&amp;DP$3,CapEx!$H$5:$H$34)*(1+Assumptions!$H$10)*Assumptions!$H$12/12</f>
        <v/>
      </c>
      <c r="DQ44" s="25">
        <f>SUMIF(CapEx!$I$5:$I$34,"&lt;"&amp;DQ$3,CapEx!$H$5:$H$34)*(1+Assumptions!$H$10)*Assumptions!$H$12/12</f>
        <v/>
      </c>
      <c r="DR44" s="25">
        <f>SUMIF(CapEx!$I$5:$I$34,"&lt;"&amp;DR$3,CapEx!$H$5:$H$34)*(1+Assumptions!$H$10)*Assumptions!$H$12/12</f>
        <v/>
      </c>
      <c r="DS44" s="25">
        <f>SUMIF(CapEx!$I$5:$I$34,"&lt;"&amp;DS$3,CapEx!$H$5:$H$34)*(1+Assumptions!$H$10)*Assumptions!$H$12/12</f>
        <v/>
      </c>
    </row>
    <row r="45">
      <c r="A45" s="2" t="inlineStr">
        <is>
          <t>CF_LAND</t>
        </is>
      </c>
      <c r="B45" s="6" t="inlineStr">
        <is>
          <t>Land fees and taxes</t>
        </is>
      </c>
      <c r="C45" s="2" t="inlineStr">
        <is>
          <t>RWF</t>
        </is>
      </c>
      <c r="D45" s="10">
        <f>Assumptions!$H$50/12</f>
        <v/>
      </c>
      <c r="E45" s="10">
        <f>Assumptions!$H$50/12</f>
        <v/>
      </c>
      <c r="F45" s="10">
        <f>Assumptions!$H$50/12</f>
        <v/>
      </c>
      <c r="G45" s="10">
        <f>Assumptions!$H$50/12</f>
        <v/>
      </c>
      <c r="H45" s="10">
        <f>Assumptions!$H$50/12</f>
        <v/>
      </c>
      <c r="I45" s="10">
        <f>Assumptions!$H$50/12</f>
        <v/>
      </c>
      <c r="J45" s="10">
        <f>Assumptions!$H$50/12</f>
        <v/>
      </c>
      <c r="K45" s="10">
        <f>Assumptions!$H$50/12</f>
        <v/>
      </c>
      <c r="L45" s="10">
        <f>Assumptions!$H$50/12</f>
        <v/>
      </c>
      <c r="M45" s="10">
        <f>Assumptions!$H$50/12</f>
        <v/>
      </c>
      <c r="N45" s="10">
        <f>Assumptions!$H$50/12</f>
        <v/>
      </c>
      <c r="O45" s="10">
        <f>Assumptions!$H$50/12</f>
        <v/>
      </c>
      <c r="P45" s="10">
        <f>Assumptions!$H$50/12</f>
        <v/>
      </c>
      <c r="Q45" s="10">
        <f>Assumptions!$H$50/12</f>
        <v/>
      </c>
      <c r="R45" s="10">
        <f>Assumptions!$H$50/12</f>
        <v/>
      </c>
      <c r="S45" s="10">
        <f>Assumptions!$H$50/12</f>
        <v/>
      </c>
      <c r="T45" s="10">
        <f>Assumptions!$H$50/12</f>
        <v/>
      </c>
      <c r="U45" s="10">
        <f>Assumptions!$H$50/12</f>
        <v/>
      </c>
      <c r="V45" s="10">
        <f>Assumptions!$H$50/12</f>
        <v/>
      </c>
      <c r="W45" s="10">
        <f>Assumptions!$H$50/12</f>
        <v/>
      </c>
      <c r="X45" s="10">
        <f>Assumptions!$H$50/12</f>
        <v/>
      </c>
      <c r="Y45" s="10">
        <f>Assumptions!$H$50/12</f>
        <v/>
      </c>
      <c r="Z45" s="10">
        <f>Assumptions!$H$50/12</f>
        <v/>
      </c>
      <c r="AA45" s="10">
        <f>Assumptions!$H$50/12</f>
        <v/>
      </c>
      <c r="AB45" s="10">
        <f>Assumptions!$H$50/12</f>
        <v/>
      </c>
      <c r="AC45" s="10">
        <f>Assumptions!$H$50/12</f>
        <v/>
      </c>
      <c r="AD45" s="10">
        <f>Assumptions!$H$50/12</f>
        <v/>
      </c>
      <c r="AE45" s="10">
        <f>Assumptions!$H$50/12</f>
        <v/>
      </c>
      <c r="AF45" s="10">
        <f>Assumptions!$H$50/12</f>
        <v/>
      </c>
      <c r="AG45" s="10">
        <f>Assumptions!$H$50/12</f>
        <v/>
      </c>
      <c r="AH45" s="10">
        <f>Assumptions!$H$50/12</f>
        <v/>
      </c>
      <c r="AI45" s="10">
        <f>Assumptions!$H$50/12</f>
        <v/>
      </c>
      <c r="AJ45" s="10">
        <f>Assumptions!$H$50/12</f>
        <v/>
      </c>
      <c r="AK45" s="10">
        <f>Assumptions!$H$50/12</f>
        <v/>
      </c>
      <c r="AL45" s="10">
        <f>Assumptions!$H$50/12</f>
        <v/>
      </c>
      <c r="AM45" s="10">
        <f>Assumptions!$H$50/12</f>
        <v/>
      </c>
      <c r="AN45" s="10">
        <f>Assumptions!$H$50/12</f>
        <v/>
      </c>
      <c r="AO45" s="10">
        <f>Assumptions!$H$50/12</f>
        <v/>
      </c>
      <c r="AP45" s="10">
        <f>Assumptions!$H$50/12</f>
        <v/>
      </c>
      <c r="AQ45" s="10">
        <f>Assumptions!$H$50/12</f>
        <v/>
      </c>
      <c r="AR45" s="10">
        <f>Assumptions!$H$50/12</f>
        <v/>
      </c>
      <c r="AS45" s="10">
        <f>Assumptions!$H$50/12</f>
        <v/>
      </c>
      <c r="AT45" s="10">
        <f>Assumptions!$H$50/12</f>
        <v/>
      </c>
      <c r="AU45" s="10">
        <f>Assumptions!$H$50/12</f>
        <v/>
      </c>
      <c r="AV45" s="10">
        <f>Assumptions!$H$50/12</f>
        <v/>
      </c>
      <c r="AW45" s="10">
        <f>Assumptions!$H$50/12</f>
        <v/>
      </c>
      <c r="AX45" s="10">
        <f>Assumptions!$H$50/12</f>
        <v/>
      </c>
      <c r="AY45" s="10">
        <f>Assumptions!$H$50/12</f>
        <v/>
      </c>
      <c r="AZ45" s="10">
        <f>Assumptions!$H$50/12</f>
        <v/>
      </c>
      <c r="BA45" s="10">
        <f>Assumptions!$H$50/12</f>
        <v/>
      </c>
      <c r="BB45" s="10">
        <f>Assumptions!$H$50/12</f>
        <v/>
      </c>
      <c r="BC45" s="10">
        <f>Assumptions!$H$50/12</f>
        <v/>
      </c>
      <c r="BD45" s="10">
        <f>Assumptions!$H$50/12</f>
        <v/>
      </c>
      <c r="BE45" s="10">
        <f>Assumptions!$H$50/12</f>
        <v/>
      </c>
      <c r="BF45" s="10">
        <f>Assumptions!$H$50/12</f>
        <v/>
      </c>
      <c r="BG45" s="10">
        <f>Assumptions!$H$50/12</f>
        <v/>
      </c>
      <c r="BH45" s="10">
        <f>Assumptions!$H$50/12</f>
        <v/>
      </c>
      <c r="BI45" s="10">
        <f>Assumptions!$H$50/12</f>
        <v/>
      </c>
      <c r="BJ45" s="10">
        <f>Assumptions!$H$50/12</f>
        <v/>
      </c>
      <c r="BK45" s="10">
        <f>Assumptions!$H$50/12</f>
        <v/>
      </c>
      <c r="BL45" s="10">
        <f>Assumptions!$H$50/12</f>
        <v/>
      </c>
      <c r="BM45" s="10">
        <f>Assumptions!$H$50/12</f>
        <v/>
      </c>
      <c r="BN45" s="10">
        <f>Assumptions!$H$50/12</f>
        <v/>
      </c>
      <c r="BO45" s="10">
        <f>Assumptions!$H$50/12</f>
        <v/>
      </c>
      <c r="BP45" s="10">
        <f>Assumptions!$H$50/12</f>
        <v/>
      </c>
      <c r="BQ45" s="10">
        <f>Assumptions!$H$50/12</f>
        <v/>
      </c>
      <c r="BR45" s="10">
        <f>Assumptions!$H$50/12</f>
        <v/>
      </c>
      <c r="BS45" s="10">
        <f>Assumptions!$H$50/12</f>
        <v/>
      </c>
      <c r="BT45" s="10">
        <f>Assumptions!$H$50/12</f>
        <v/>
      </c>
      <c r="BU45" s="10">
        <f>Assumptions!$H$50/12</f>
        <v/>
      </c>
      <c r="BV45" s="10">
        <f>Assumptions!$H$50/12</f>
        <v/>
      </c>
      <c r="BW45" s="10">
        <f>Assumptions!$H$50/12</f>
        <v/>
      </c>
      <c r="BX45" s="10">
        <f>Assumptions!$H$50/12</f>
        <v/>
      </c>
      <c r="BY45" s="10">
        <f>Assumptions!$H$50/12</f>
        <v/>
      </c>
      <c r="BZ45" s="10">
        <f>Assumptions!$H$50/12</f>
        <v/>
      </c>
      <c r="CA45" s="10">
        <f>Assumptions!$H$50/12</f>
        <v/>
      </c>
      <c r="CB45" s="10">
        <f>Assumptions!$H$50/12</f>
        <v/>
      </c>
      <c r="CC45" s="10">
        <f>Assumptions!$H$50/12</f>
        <v/>
      </c>
      <c r="CD45" s="10">
        <f>Assumptions!$H$50/12</f>
        <v/>
      </c>
      <c r="CE45" s="10">
        <f>Assumptions!$H$50/12</f>
        <v/>
      </c>
      <c r="CF45" s="10">
        <f>Assumptions!$H$50/12</f>
        <v/>
      </c>
      <c r="CG45" s="10">
        <f>Assumptions!$H$50/12</f>
        <v/>
      </c>
      <c r="CH45" s="10">
        <f>Assumptions!$H$50/12</f>
        <v/>
      </c>
      <c r="CI45" s="10">
        <f>Assumptions!$H$50/12</f>
        <v/>
      </c>
      <c r="CJ45" s="10">
        <f>Assumptions!$H$50/12</f>
        <v/>
      </c>
      <c r="CK45" s="10">
        <f>Assumptions!$H$50/12</f>
        <v/>
      </c>
      <c r="CL45" s="10">
        <f>Assumptions!$H$50/12</f>
        <v/>
      </c>
      <c r="CM45" s="10">
        <f>Assumptions!$H$50/12</f>
        <v/>
      </c>
      <c r="CN45" s="10">
        <f>Assumptions!$H$50/12</f>
        <v/>
      </c>
      <c r="CO45" s="10">
        <f>Assumptions!$H$50/12</f>
        <v/>
      </c>
      <c r="CP45" s="10">
        <f>Assumptions!$H$50/12</f>
        <v/>
      </c>
      <c r="CQ45" s="10">
        <f>Assumptions!$H$50/12</f>
        <v/>
      </c>
      <c r="CR45" s="10">
        <f>Assumptions!$H$50/12</f>
        <v/>
      </c>
      <c r="CS45" s="10">
        <f>Assumptions!$H$50/12</f>
        <v/>
      </c>
      <c r="CT45" s="10">
        <f>Assumptions!$H$50/12</f>
        <v/>
      </c>
      <c r="CU45" s="10">
        <f>Assumptions!$H$50/12</f>
        <v/>
      </c>
      <c r="CV45" s="10">
        <f>Assumptions!$H$50/12</f>
        <v/>
      </c>
      <c r="CW45" s="10">
        <f>Assumptions!$H$50/12</f>
        <v/>
      </c>
      <c r="CX45" s="10">
        <f>Assumptions!$H$50/12</f>
        <v/>
      </c>
      <c r="CY45" s="10">
        <f>Assumptions!$H$50/12</f>
        <v/>
      </c>
      <c r="CZ45" s="10">
        <f>Assumptions!$H$50/12</f>
        <v/>
      </c>
      <c r="DA45" s="10">
        <f>Assumptions!$H$50/12</f>
        <v/>
      </c>
      <c r="DB45" s="10">
        <f>Assumptions!$H$50/12</f>
        <v/>
      </c>
      <c r="DC45" s="10">
        <f>Assumptions!$H$50/12</f>
        <v/>
      </c>
      <c r="DD45" s="10">
        <f>Assumptions!$H$50/12</f>
        <v/>
      </c>
      <c r="DE45" s="10">
        <f>Assumptions!$H$50/12</f>
        <v/>
      </c>
      <c r="DF45" s="10">
        <f>Assumptions!$H$50/12</f>
        <v/>
      </c>
      <c r="DG45" s="10">
        <f>Assumptions!$H$50/12</f>
        <v/>
      </c>
      <c r="DH45" s="10">
        <f>Assumptions!$H$50/12</f>
        <v/>
      </c>
      <c r="DI45" s="10">
        <f>Assumptions!$H$50/12</f>
        <v/>
      </c>
      <c r="DJ45" s="10">
        <f>Assumptions!$H$50/12</f>
        <v/>
      </c>
      <c r="DK45" s="10">
        <f>Assumptions!$H$50/12</f>
        <v/>
      </c>
      <c r="DL45" s="10">
        <f>Assumptions!$H$50/12</f>
        <v/>
      </c>
      <c r="DM45" s="10">
        <f>Assumptions!$H$50/12</f>
        <v/>
      </c>
      <c r="DN45" s="10">
        <f>Assumptions!$H$50/12</f>
        <v/>
      </c>
      <c r="DO45" s="10">
        <f>Assumptions!$H$50/12</f>
        <v/>
      </c>
      <c r="DP45" s="10">
        <f>Assumptions!$H$50/12</f>
        <v/>
      </c>
      <c r="DQ45" s="10">
        <f>Assumptions!$H$50/12</f>
        <v/>
      </c>
      <c r="DR45" s="10">
        <f>Assumptions!$H$50/12</f>
        <v/>
      </c>
      <c r="DS45" s="10">
        <f>Assumptions!$H$50/12</f>
        <v/>
      </c>
    </row>
    <row r="46">
      <c r="A46" s="2" t="inlineStr">
        <is>
          <t>CF_OPEX</t>
        </is>
      </c>
      <c r="B46" s="3" t="inlineStr">
        <is>
          <t>Total operating costs</t>
        </is>
      </c>
      <c r="C46" s="2" t="inlineStr">
        <is>
          <t>RWF</t>
        </is>
      </c>
      <c r="D46" s="37">
        <f>SUM(D28:D45)</f>
        <v/>
      </c>
      <c r="E46" s="37">
        <f>SUM(E28:E45)</f>
        <v/>
      </c>
      <c r="F46" s="37">
        <f>SUM(F28:F45)</f>
        <v/>
      </c>
      <c r="G46" s="37">
        <f>SUM(G28:G45)</f>
        <v/>
      </c>
      <c r="H46" s="37">
        <f>SUM(H28:H45)</f>
        <v/>
      </c>
      <c r="I46" s="37">
        <f>SUM(I28:I45)</f>
        <v/>
      </c>
      <c r="J46" s="37">
        <f>SUM(J28:J45)</f>
        <v/>
      </c>
      <c r="K46" s="37">
        <f>SUM(K28:K45)</f>
        <v/>
      </c>
      <c r="L46" s="37">
        <f>SUM(L28:L45)</f>
        <v/>
      </c>
      <c r="M46" s="37">
        <f>SUM(M28:M45)</f>
        <v/>
      </c>
      <c r="N46" s="37">
        <f>SUM(N28:N45)</f>
        <v/>
      </c>
      <c r="O46" s="37">
        <f>SUM(O28:O45)</f>
        <v/>
      </c>
      <c r="P46" s="37">
        <f>SUM(P28:P45)</f>
        <v/>
      </c>
      <c r="Q46" s="37">
        <f>SUM(Q28:Q45)</f>
        <v/>
      </c>
      <c r="R46" s="37">
        <f>SUM(R28:R45)</f>
        <v/>
      </c>
      <c r="S46" s="37">
        <f>SUM(S28:S45)</f>
        <v/>
      </c>
      <c r="T46" s="37">
        <f>SUM(T28:T45)</f>
        <v/>
      </c>
      <c r="U46" s="37">
        <f>SUM(U28:U45)</f>
        <v/>
      </c>
      <c r="V46" s="37">
        <f>SUM(V28:V45)</f>
        <v/>
      </c>
      <c r="W46" s="37">
        <f>SUM(W28:W45)</f>
        <v/>
      </c>
      <c r="X46" s="37">
        <f>SUM(X28:X45)</f>
        <v/>
      </c>
      <c r="Y46" s="37">
        <f>SUM(Y28:Y45)</f>
        <v/>
      </c>
      <c r="Z46" s="37">
        <f>SUM(Z28:Z45)</f>
        <v/>
      </c>
      <c r="AA46" s="37">
        <f>SUM(AA28:AA45)</f>
        <v/>
      </c>
      <c r="AB46" s="37">
        <f>SUM(AB28:AB45)</f>
        <v/>
      </c>
      <c r="AC46" s="37">
        <f>SUM(AC28:AC45)</f>
        <v/>
      </c>
      <c r="AD46" s="37">
        <f>SUM(AD28:AD45)</f>
        <v/>
      </c>
      <c r="AE46" s="37">
        <f>SUM(AE28:AE45)</f>
        <v/>
      </c>
      <c r="AF46" s="37">
        <f>SUM(AF28:AF45)</f>
        <v/>
      </c>
      <c r="AG46" s="37">
        <f>SUM(AG28:AG45)</f>
        <v/>
      </c>
      <c r="AH46" s="37">
        <f>SUM(AH28:AH45)</f>
        <v/>
      </c>
      <c r="AI46" s="37">
        <f>SUM(AI28:AI45)</f>
        <v/>
      </c>
      <c r="AJ46" s="37">
        <f>SUM(AJ28:AJ45)</f>
        <v/>
      </c>
      <c r="AK46" s="37">
        <f>SUM(AK28:AK45)</f>
        <v/>
      </c>
      <c r="AL46" s="37">
        <f>SUM(AL28:AL45)</f>
        <v/>
      </c>
      <c r="AM46" s="37">
        <f>SUM(AM28:AM45)</f>
        <v/>
      </c>
      <c r="AN46" s="37">
        <f>SUM(AN28:AN45)</f>
        <v/>
      </c>
      <c r="AO46" s="37">
        <f>SUM(AO28:AO45)</f>
        <v/>
      </c>
      <c r="AP46" s="37">
        <f>SUM(AP28:AP45)</f>
        <v/>
      </c>
      <c r="AQ46" s="37">
        <f>SUM(AQ28:AQ45)</f>
        <v/>
      </c>
      <c r="AR46" s="37">
        <f>SUM(AR28:AR45)</f>
        <v/>
      </c>
      <c r="AS46" s="37">
        <f>SUM(AS28:AS45)</f>
        <v/>
      </c>
      <c r="AT46" s="37">
        <f>SUM(AT28:AT45)</f>
        <v/>
      </c>
      <c r="AU46" s="37">
        <f>SUM(AU28:AU45)</f>
        <v/>
      </c>
      <c r="AV46" s="37">
        <f>SUM(AV28:AV45)</f>
        <v/>
      </c>
      <c r="AW46" s="37">
        <f>SUM(AW28:AW45)</f>
        <v/>
      </c>
      <c r="AX46" s="37">
        <f>SUM(AX28:AX45)</f>
        <v/>
      </c>
      <c r="AY46" s="37">
        <f>SUM(AY28:AY45)</f>
        <v/>
      </c>
      <c r="AZ46" s="37">
        <f>SUM(AZ28:AZ45)</f>
        <v/>
      </c>
      <c r="BA46" s="37">
        <f>SUM(BA28:BA45)</f>
        <v/>
      </c>
      <c r="BB46" s="37">
        <f>SUM(BB28:BB45)</f>
        <v/>
      </c>
      <c r="BC46" s="37">
        <f>SUM(BC28:BC45)</f>
        <v/>
      </c>
      <c r="BD46" s="37">
        <f>SUM(BD28:BD45)</f>
        <v/>
      </c>
      <c r="BE46" s="37">
        <f>SUM(BE28:BE45)</f>
        <v/>
      </c>
      <c r="BF46" s="37">
        <f>SUM(BF28:BF45)</f>
        <v/>
      </c>
      <c r="BG46" s="37">
        <f>SUM(BG28:BG45)</f>
        <v/>
      </c>
      <c r="BH46" s="37">
        <f>SUM(BH28:BH45)</f>
        <v/>
      </c>
      <c r="BI46" s="37">
        <f>SUM(BI28:BI45)</f>
        <v/>
      </c>
      <c r="BJ46" s="37">
        <f>SUM(BJ28:BJ45)</f>
        <v/>
      </c>
      <c r="BK46" s="37">
        <f>SUM(BK28:BK45)</f>
        <v/>
      </c>
      <c r="BL46" s="37">
        <f>SUM(BL28:BL45)</f>
        <v/>
      </c>
      <c r="BM46" s="37">
        <f>SUM(BM28:BM45)</f>
        <v/>
      </c>
      <c r="BN46" s="37">
        <f>SUM(BN28:BN45)</f>
        <v/>
      </c>
      <c r="BO46" s="37">
        <f>SUM(BO28:BO45)</f>
        <v/>
      </c>
      <c r="BP46" s="37">
        <f>SUM(BP28:BP45)</f>
        <v/>
      </c>
      <c r="BQ46" s="37">
        <f>SUM(BQ28:BQ45)</f>
        <v/>
      </c>
      <c r="BR46" s="37">
        <f>SUM(BR28:BR45)</f>
        <v/>
      </c>
      <c r="BS46" s="37">
        <f>SUM(BS28:BS45)</f>
        <v/>
      </c>
      <c r="BT46" s="37">
        <f>SUM(BT28:BT45)</f>
        <v/>
      </c>
      <c r="BU46" s="37">
        <f>SUM(BU28:BU45)</f>
        <v/>
      </c>
      <c r="BV46" s="37">
        <f>SUM(BV28:BV45)</f>
        <v/>
      </c>
      <c r="BW46" s="37">
        <f>SUM(BW28:BW45)</f>
        <v/>
      </c>
      <c r="BX46" s="37">
        <f>SUM(BX28:BX45)</f>
        <v/>
      </c>
      <c r="BY46" s="37">
        <f>SUM(BY28:BY45)</f>
        <v/>
      </c>
      <c r="BZ46" s="37">
        <f>SUM(BZ28:BZ45)</f>
        <v/>
      </c>
      <c r="CA46" s="37">
        <f>SUM(CA28:CA45)</f>
        <v/>
      </c>
      <c r="CB46" s="37">
        <f>SUM(CB28:CB45)</f>
        <v/>
      </c>
      <c r="CC46" s="37">
        <f>SUM(CC28:CC45)</f>
        <v/>
      </c>
      <c r="CD46" s="37">
        <f>SUM(CD28:CD45)</f>
        <v/>
      </c>
      <c r="CE46" s="37">
        <f>SUM(CE28:CE45)</f>
        <v/>
      </c>
      <c r="CF46" s="37">
        <f>SUM(CF28:CF45)</f>
        <v/>
      </c>
      <c r="CG46" s="37">
        <f>SUM(CG28:CG45)</f>
        <v/>
      </c>
      <c r="CH46" s="37">
        <f>SUM(CH28:CH45)</f>
        <v/>
      </c>
      <c r="CI46" s="37">
        <f>SUM(CI28:CI45)</f>
        <v/>
      </c>
      <c r="CJ46" s="37">
        <f>SUM(CJ28:CJ45)</f>
        <v/>
      </c>
      <c r="CK46" s="37">
        <f>SUM(CK28:CK45)</f>
        <v/>
      </c>
      <c r="CL46" s="37">
        <f>SUM(CL28:CL45)</f>
        <v/>
      </c>
      <c r="CM46" s="37">
        <f>SUM(CM28:CM45)</f>
        <v/>
      </c>
      <c r="CN46" s="37">
        <f>SUM(CN28:CN45)</f>
        <v/>
      </c>
      <c r="CO46" s="37">
        <f>SUM(CO28:CO45)</f>
        <v/>
      </c>
      <c r="CP46" s="37">
        <f>SUM(CP28:CP45)</f>
        <v/>
      </c>
      <c r="CQ46" s="37">
        <f>SUM(CQ28:CQ45)</f>
        <v/>
      </c>
      <c r="CR46" s="37">
        <f>SUM(CR28:CR45)</f>
        <v/>
      </c>
      <c r="CS46" s="37">
        <f>SUM(CS28:CS45)</f>
        <v/>
      </c>
      <c r="CT46" s="37">
        <f>SUM(CT28:CT45)</f>
        <v/>
      </c>
      <c r="CU46" s="37">
        <f>SUM(CU28:CU45)</f>
        <v/>
      </c>
      <c r="CV46" s="37">
        <f>SUM(CV28:CV45)</f>
        <v/>
      </c>
      <c r="CW46" s="37">
        <f>SUM(CW28:CW45)</f>
        <v/>
      </c>
      <c r="CX46" s="37">
        <f>SUM(CX28:CX45)</f>
        <v/>
      </c>
      <c r="CY46" s="37">
        <f>SUM(CY28:CY45)</f>
        <v/>
      </c>
      <c r="CZ46" s="37">
        <f>SUM(CZ28:CZ45)</f>
        <v/>
      </c>
      <c r="DA46" s="37">
        <f>SUM(DA28:DA45)</f>
        <v/>
      </c>
      <c r="DB46" s="37">
        <f>SUM(DB28:DB45)</f>
        <v/>
      </c>
      <c r="DC46" s="37">
        <f>SUM(DC28:DC45)</f>
        <v/>
      </c>
      <c r="DD46" s="37">
        <f>SUM(DD28:DD45)</f>
        <v/>
      </c>
      <c r="DE46" s="37">
        <f>SUM(DE28:DE45)</f>
        <v/>
      </c>
      <c r="DF46" s="37">
        <f>SUM(DF28:DF45)</f>
        <v/>
      </c>
      <c r="DG46" s="37">
        <f>SUM(DG28:DG45)</f>
        <v/>
      </c>
      <c r="DH46" s="37">
        <f>SUM(DH28:DH45)</f>
        <v/>
      </c>
      <c r="DI46" s="37">
        <f>SUM(DI28:DI45)</f>
        <v/>
      </c>
      <c r="DJ46" s="37">
        <f>SUM(DJ28:DJ45)</f>
        <v/>
      </c>
      <c r="DK46" s="37">
        <f>SUM(DK28:DK45)</f>
        <v/>
      </c>
      <c r="DL46" s="37">
        <f>SUM(DL28:DL45)</f>
        <v/>
      </c>
      <c r="DM46" s="37">
        <f>SUM(DM28:DM45)</f>
        <v/>
      </c>
      <c r="DN46" s="37">
        <f>SUM(DN28:DN45)</f>
        <v/>
      </c>
      <c r="DO46" s="37">
        <f>SUM(DO28:DO45)</f>
        <v/>
      </c>
      <c r="DP46" s="37">
        <f>SUM(DP28:DP45)</f>
        <v/>
      </c>
      <c r="DQ46" s="37">
        <f>SUM(DQ28:DQ45)</f>
        <v/>
      </c>
      <c r="DR46" s="37">
        <f>SUM(DR28:DR45)</f>
        <v/>
      </c>
      <c r="DS46" s="37">
        <f>SUM(DS28:DS45)</f>
        <v/>
      </c>
    </row>
    <row r="48">
      <c r="A48" s="2" t="inlineStr">
        <is>
          <t>CF_EBITDA</t>
        </is>
      </c>
      <c r="B48" s="3" t="inlineStr">
        <is>
          <t>EBITDA (sales less operating costs)</t>
        </is>
      </c>
      <c r="C48" s="2" t="inlineStr">
        <is>
          <t>RWF</t>
        </is>
      </c>
      <c r="D48" s="31">
        <f>D21-D46</f>
        <v/>
      </c>
      <c r="E48" s="31">
        <f>E21-E46</f>
        <v/>
      </c>
      <c r="F48" s="31">
        <f>F21-F46</f>
        <v/>
      </c>
      <c r="G48" s="31">
        <f>G21-G46</f>
        <v/>
      </c>
      <c r="H48" s="31">
        <f>H21-H46</f>
        <v/>
      </c>
      <c r="I48" s="31">
        <f>I21-I46</f>
        <v/>
      </c>
      <c r="J48" s="31">
        <f>J21-J46</f>
        <v/>
      </c>
      <c r="K48" s="31">
        <f>K21-K46</f>
        <v/>
      </c>
      <c r="L48" s="31">
        <f>L21-L46</f>
        <v/>
      </c>
      <c r="M48" s="31">
        <f>M21-M46</f>
        <v/>
      </c>
      <c r="N48" s="31">
        <f>N21-N46</f>
        <v/>
      </c>
      <c r="O48" s="31">
        <f>O21-O46</f>
        <v/>
      </c>
      <c r="P48" s="31">
        <f>P21-P46</f>
        <v/>
      </c>
      <c r="Q48" s="31">
        <f>Q21-Q46</f>
        <v/>
      </c>
      <c r="R48" s="31">
        <f>R21-R46</f>
        <v/>
      </c>
      <c r="S48" s="31">
        <f>S21-S46</f>
        <v/>
      </c>
      <c r="T48" s="31">
        <f>T21-T46</f>
        <v/>
      </c>
      <c r="U48" s="31">
        <f>U21-U46</f>
        <v/>
      </c>
      <c r="V48" s="31">
        <f>V21-V46</f>
        <v/>
      </c>
      <c r="W48" s="31">
        <f>W21-W46</f>
        <v/>
      </c>
      <c r="X48" s="31">
        <f>X21-X46</f>
        <v/>
      </c>
      <c r="Y48" s="31">
        <f>Y21-Y46</f>
        <v/>
      </c>
      <c r="Z48" s="31">
        <f>Z21-Z46</f>
        <v/>
      </c>
      <c r="AA48" s="31">
        <f>AA21-AA46</f>
        <v/>
      </c>
      <c r="AB48" s="31">
        <f>AB21-AB46</f>
        <v/>
      </c>
      <c r="AC48" s="31">
        <f>AC21-AC46</f>
        <v/>
      </c>
      <c r="AD48" s="31">
        <f>AD21-AD46</f>
        <v/>
      </c>
      <c r="AE48" s="31">
        <f>AE21-AE46</f>
        <v/>
      </c>
      <c r="AF48" s="31">
        <f>AF21-AF46</f>
        <v/>
      </c>
      <c r="AG48" s="31">
        <f>AG21-AG46</f>
        <v/>
      </c>
      <c r="AH48" s="31">
        <f>AH21-AH46</f>
        <v/>
      </c>
      <c r="AI48" s="31">
        <f>AI21-AI46</f>
        <v/>
      </c>
      <c r="AJ48" s="31">
        <f>AJ21-AJ46</f>
        <v/>
      </c>
      <c r="AK48" s="31">
        <f>AK21-AK46</f>
        <v/>
      </c>
      <c r="AL48" s="31">
        <f>AL21-AL46</f>
        <v/>
      </c>
      <c r="AM48" s="31">
        <f>AM21-AM46</f>
        <v/>
      </c>
      <c r="AN48" s="31">
        <f>AN21-AN46</f>
        <v/>
      </c>
      <c r="AO48" s="31">
        <f>AO21-AO46</f>
        <v/>
      </c>
      <c r="AP48" s="31">
        <f>AP21-AP46</f>
        <v/>
      </c>
      <c r="AQ48" s="31">
        <f>AQ21-AQ46</f>
        <v/>
      </c>
      <c r="AR48" s="31">
        <f>AR21-AR46</f>
        <v/>
      </c>
      <c r="AS48" s="31">
        <f>AS21-AS46</f>
        <v/>
      </c>
      <c r="AT48" s="31">
        <f>AT21-AT46</f>
        <v/>
      </c>
      <c r="AU48" s="31">
        <f>AU21-AU46</f>
        <v/>
      </c>
      <c r="AV48" s="31">
        <f>AV21-AV46</f>
        <v/>
      </c>
      <c r="AW48" s="31">
        <f>AW21-AW46</f>
        <v/>
      </c>
      <c r="AX48" s="31">
        <f>AX21-AX46</f>
        <v/>
      </c>
      <c r="AY48" s="31">
        <f>AY21-AY46</f>
        <v/>
      </c>
      <c r="AZ48" s="31">
        <f>AZ21-AZ46</f>
        <v/>
      </c>
      <c r="BA48" s="31">
        <f>BA21-BA46</f>
        <v/>
      </c>
      <c r="BB48" s="31">
        <f>BB21-BB46</f>
        <v/>
      </c>
      <c r="BC48" s="31">
        <f>BC21-BC46</f>
        <v/>
      </c>
      <c r="BD48" s="31">
        <f>BD21-BD46</f>
        <v/>
      </c>
      <c r="BE48" s="31">
        <f>BE21-BE46</f>
        <v/>
      </c>
      <c r="BF48" s="31">
        <f>BF21-BF46</f>
        <v/>
      </c>
      <c r="BG48" s="31">
        <f>BG21-BG46</f>
        <v/>
      </c>
      <c r="BH48" s="31">
        <f>BH21-BH46</f>
        <v/>
      </c>
      <c r="BI48" s="31">
        <f>BI21-BI46</f>
        <v/>
      </c>
      <c r="BJ48" s="31">
        <f>BJ21-BJ46</f>
        <v/>
      </c>
      <c r="BK48" s="31">
        <f>BK21-BK46</f>
        <v/>
      </c>
      <c r="BL48" s="31">
        <f>BL21-BL46</f>
        <v/>
      </c>
      <c r="BM48" s="31">
        <f>BM21-BM46</f>
        <v/>
      </c>
      <c r="BN48" s="31">
        <f>BN21-BN46</f>
        <v/>
      </c>
      <c r="BO48" s="31">
        <f>BO21-BO46</f>
        <v/>
      </c>
      <c r="BP48" s="31">
        <f>BP21-BP46</f>
        <v/>
      </c>
      <c r="BQ48" s="31">
        <f>BQ21-BQ46</f>
        <v/>
      </c>
      <c r="BR48" s="31">
        <f>BR21-BR46</f>
        <v/>
      </c>
      <c r="BS48" s="31">
        <f>BS21-BS46</f>
        <v/>
      </c>
      <c r="BT48" s="31">
        <f>BT21-BT46</f>
        <v/>
      </c>
      <c r="BU48" s="31">
        <f>BU21-BU46</f>
        <v/>
      </c>
      <c r="BV48" s="31">
        <f>BV21-BV46</f>
        <v/>
      </c>
      <c r="BW48" s="31">
        <f>BW21-BW46</f>
        <v/>
      </c>
      <c r="BX48" s="31">
        <f>BX21-BX46</f>
        <v/>
      </c>
      <c r="BY48" s="31">
        <f>BY21-BY46</f>
        <v/>
      </c>
      <c r="BZ48" s="31">
        <f>BZ21-BZ46</f>
        <v/>
      </c>
      <c r="CA48" s="31">
        <f>CA21-CA46</f>
        <v/>
      </c>
      <c r="CB48" s="31">
        <f>CB21-CB46</f>
        <v/>
      </c>
      <c r="CC48" s="31">
        <f>CC21-CC46</f>
        <v/>
      </c>
      <c r="CD48" s="31">
        <f>CD21-CD46</f>
        <v/>
      </c>
      <c r="CE48" s="31">
        <f>CE21-CE46</f>
        <v/>
      </c>
      <c r="CF48" s="31">
        <f>CF21-CF46</f>
        <v/>
      </c>
      <c r="CG48" s="31">
        <f>CG21-CG46</f>
        <v/>
      </c>
      <c r="CH48" s="31">
        <f>CH21-CH46</f>
        <v/>
      </c>
      <c r="CI48" s="31">
        <f>CI21-CI46</f>
        <v/>
      </c>
      <c r="CJ48" s="31">
        <f>CJ21-CJ46</f>
        <v/>
      </c>
      <c r="CK48" s="31">
        <f>CK21-CK46</f>
        <v/>
      </c>
      <c r="CL48" s="31">
        <f>CL21-CL46</f>
        <v/>
      </c>
      <c r="CM48" s="31">
        <f>CM21-CM46</f>
        <v/>
      </c>
      <c r="CN48" s="31">
        <f>CN21-CN46</f>
        <v/>
      </c>
      <c r="CO48" s="31">
        <f>CO21-CO46</f>
        <v/>
      </c>
      <c r="CP48" s="31">
        <f>CP21-CP46</f>
        <v/>
      </c>
      <c r="CQ48" s="31">
        <f>CQ21-CQ46</f>
        <v/>
      </c>
      <c r="CR48" s="31">
        <f>CR21-CR46</f>
        <v/>
      </c>
      <c r="CS48" s="31">
        <f>CS21-CS46</f>
        <v/>
      </c>
      <c r="CT48" s="31">
        <f>CT21-CT46</f>
        <v/>
      </c>
      <c r="CU48" s="31">
        <f>CU21-CU46</f>
        <v/>
      </c>
      <c r="CV48" s="31">
        <f>CV21-CV46</f>
        <v/>
      </c>
      <c r="CW48" s="31">
        <f>CW21-CW46</f>
        <v/>
      </c>
      <c r="CX48" s="31">
        <f>CX21-CX46</f>
        <v/>
      </c>
      <c r="CY48" s="31">
        <f>CY21-CY46</f>
        <v/>
      </c>
      <c r="CZ48" s="31">
        <f>CZ21-CZ46</f>
        <v/>
      </c>
      <c r="DA48" s="31">
        <f>DA21-DA46</f>
        <v/>
      </c>
      <c r="DB48" s="31">
        <f>DB21-DB46</f>
        <v/>
      </c>
      <c r="DC48" s="31">
        <f>DC21-DC46</f>
        <v/>
      </c>
      <c r="DD48" s="31">
        <f>DD21-DD46</f>
        <v/>
      </c>
      <c r="DE48" s="31">
        <f>DE21-DE46</f>
        <v/>
      </c>
      <c r="DF48" s="31">
        <f>DF21-DF46</f>
        <v/>
      </c>
      <c r="DG48" s="31">
        <f>DG21-DG46</f>
        <v/>
      </c>
      <c r="DH48" s="31">
        <f>DH21-DH46</f>
        <v/>
      </c>
      <c r="DI48" s="31">
        <f>DI21-DI46</f>
        <v/>
      </c>
      <c r="DJ48" s="31">
        <f>DJ21-DJ46</f>
        <v/>
      </c>
      <c r="DK48" s="31">
        <f>DK21-DK46</f>
        <v/>
      </c>
      <c r="DL48" s="31">
        <f>DL21-DL46</f>
        <v/>
      </c>
      <c r="DM48" s="31">
        <f>DM21-DM46</f>
        <v/>
      </c>
      <c r="DN48" s="31">
        <f>DN21-DN46</f>
        <v/>
      </c>
      <c r="DO48" s="31">
        <f>DO21-DO46</f>
        <v/>
      </c>
      <c r="DP48" s="31">
        <f>DP21-DP46</f>
        <v/>
      </c>
      <c r="DQ48" s="31">
        <f>DQ21-DQ46</f>
        <v/>
      </c>
      <c r="DR48" s="31">
        <f>DR21-DR46</f>
        <v/>
      </c>
      <c r="DS48" s="31">
        <f>DS21-DS46</f>
        <v/>
      </c>
    </row>
    <row r="50">
      <c r="A50" s="11" t="n"/>
      <c r="B50" s="12" t="inlineStr">
        <is>
          <t>Investment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  <c r="AR50" s="11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  <c r="BB50" s="11" t="n"/>
      <c r="BC50" s="11" t="n"/>
      <c r="BD50" s="11" t="n"/>
      <c r="BE50" s="11" t="n"/>
      <c r="BF50" s="11" t="n"/>
      <c r="BG50" s="11" t="n"/>
      <c r="BH50" s="11" t="n"/>
      <c r="BI50" s="11" t="n"/>
      <c r="BJ50" s="11" t="n"/>
      <c r="BK50" s="11" t="n"/>
      <c r="BL50" s="11" t="n"/>
      <c r="BM50" s="11" t="n"/>
      <c r="BN50" s="11" t="n"/>
      <c r="BO50" s="11" t="n"/>
      <c r="BP50" s="11" t="n"/>
      <c r="BQ50" s="11" t="n"/>
      <c r="BR50" s="11" t="n"/>
      <c r="BS50" s="11" t="n"/>
      <c r="BT50" s="11" t="n"/>
      <c r="BU50" s="11" t="n"/>
      <c r="BV50" s="11" t="n"/>
      <c r="BW50" s="11" t="n"/>
      <c r="BX50" s="11" t="n"/>
      <c r="BY50" s="11" t="n"/>
      <c r="BZ50" s="11" t="n"/>
      <c r="CA50" s="11" t="n"/>
      <c r="CB50" s="11" t="n"/>
      <c r="CC50" s="11" t="n"/>
      <c r="CD50" s="11" t="n"/>
      <c r="CE50" s="11" t="n"/>
      <c r="CF50" s="11" t="n"/>
      <c r="CG50" s="11" t="n"/>
      <c r="CH50" s="11" t="n"/>
      <c r="CI50" s="11" t="n"/>
      <c r="CJ50" s="11" t="n"/>
      <c r="CK50" s="11" t="n"/>
      <c r="CL50" s="11" t="n"/>
      <c r="CM50" s="11" t="n"/>
      <c r="CN50" s="11" t="n"/>
      <c r="CO50" s="11" t="n"/>
      <c r="CP50" s="11" t="n"/>
      <c r="CQ50" s="11" t="n"/>
      <c r="CR50" s="11" t="n"/>
      <c r="CS50" s="11" t="n"/>
      <c r="CT50" s="11" t="n"/>
      <c r="CU50" s="11" t="n"/>
      <c r="CV50" s="11" t="n"/>
      <c r="CW50" s="11" t="n"/>
      <c r="CX50" s="11" t="n"/>
      <c r="CY50" s="11" t="n"/>
      <c r="CZ50" s="11" t="n"/>
      <c r="DA50" s="11" t="n"/>
      <c r="DB50" s="11" t="n"/>
      <c r="DC50" s="11" t="n"/>
      <c r="DD50" s="11" t="n"/>
      <c r="DE50" s="11" t="n"/>
      <c r="DF50" s="11" t="n"/>
      <c r="DG50" s="11" t="n"/>
      <c r="DH50" s="11" t="n"/>
      <c r="DI50" s="11" t="n"/>
      <c r="DJ50" s="11" t="n"/>
      <c r="DK50" s="11" t="n"/>
      <c r="DL50" s="11" t="n"/>
      <c r="DM50" s="11" t="n"/>
      <c r="DN50" s="11" t="n"/>
      <c r="DO50" s="11" t="n"/>
      <c r="DP50" s="11" t="n"/>
      <c r="DQ50" s="11" t="n"/>
      <c r="DR50" s="11" t="n"/>
      <c r="DS50" s="11" t="n"/>
    </row>
    <row r="51">
      <c r="A51" s="2" t="inlineStr">
        <is>
          <t>CF_CAPEX</t>
        </is>
      </c>
      <c r="B51" s="6" t="inlineStr">
        <is>
          <t>Capital items incl. contingency</t>
        </is>
      </c>
      <c r="C51" s="2" t="inlineStr">
        <is>
          <t>RWF</t>
        </is>
      </c>
      <c r="D51" s="25">
        <f>SUMIF(CapEx!$I$5:$I$34,D$3,CapEx!$H$5:$H$34)*(1+Assumptions!$H$10)</f>
        <v/>
      </c>
      <c r="E51" s="25">
        <f>SUMIF(CapEx!$I$5:$I$34,E$3,CapEx!$H$5:$H$34)*(1+Assumptions!$H$10)</f>
        <v/>
      </c>
      <c r="F51" s="25">
        <f>SUMIF(CapEx!$I$5:$I$34,F$3,CapEx!$H$5:$H$34)*(1+Assumptions!$H$10)</f>
        <v/>
      </c>
      <c r="G51" s="25">
        <f>SUMIF(CapEx!$I$5:$I$34,G$3,CapEx!$H$5:$H$34)*(1+Assumptions!$H$10)</f>
        <v/>
      </c>
      <c r="H51" s="25">
        <f>SUMIF(CapEx!$I$5:$I$34,H$3,CapEx!$H$5:$H$34)*(1+Assumptions!$H$10)</f>
        <v/>
      </c>
      <c r="I51" s="25">
        <f>SUMIF(CapEx!$I$5:$I$34,I$3,CapEx!$H$5:$H$34)*(1+Assumptions!$H$10)</f>
        <v/>
      </c>
      <c r="J51" s="25">
        <f>SUMIF(CapEx!$I$5:$I$34,J$3,CapEx!$H$5:$H$34)*(1+Assumptions!$H$10)</f>
        <v/>
      </c>
      <c r="K51" s="25">
        <f>SUMIF(CapEx!$I$5:$I$34,K$3,CapEx!$H$5:$H$34)*(1+Assumptions!$H$10)</f>
        <v/>
      </c>
      <c r="L51" s="25">
        <f>SUMIF(CapEx!$I$5:$I$34,L$3,CapEx!$H$5:$H$34)*(1+Assumptions!$H$10)</f>
        <v/>
      </c>
      <c r="M51" s="25">
        <f>SUMIF(CapEx!$I$5:$I$34,M$3,CapEx!$H$5:$H$34)*(1+Assumptions!$H$10)</f>
        <v/>
      </c>
      <c r="N51" s="25">
        <f>SUMIF(CapEx!$I$5:$I$34,N$3,CapEx!$H$5:$H$34)*(1+Assumptions!$H$10)</f>
        <v/>
      </c>
      <c r="O51" s="25">
        <f>SUMIF(CapEx!$I$5:$I$34,O$3,CapEx!$H$5:$H$34)*(1+Assumptions!$H$10)</f>
        <v/>
      </c>
      <c r="P51" s="25">
        <f>SUMIF(CapEx!$I$5:$I$34,P$3,CapEx!$H$5:$H$34)*(1+Assumptions!$H$10)</f>
        <v/>
      </c>
      <c r="Q51" s="25">
        <f>SUMIF(CapEx!$I$5:$I$34,Q$3,CapEx!$H$5:$H$34)*(1+Assumptions!$H$10)</f>
        <v/>
      </c>
      <c r="R51" s="25">
        <f>SUMIF(CapEx!$I$5:$I$34,R$3,CapEx!$H$5:$H$34)*(1+Assumptions!$H$10)</f>
        <v/>
      </c>
      <c r="S51" s="25">
        <f>SUMIF(CapEx!$I$5:$I$34,S$3,CapEx!$H$5:$H$34)*(1+Assumptions!$H$10)</f>
        <v/>
      </c>
      <c r="T51" s="25">
        <f>SUMIF(CapEx!$I$5:$I$34,T$3,CapEx!$H$5:$H$34)*(1+Assumptions!$H$10)</f>
        <v/>
      </c>
      <c r="U51" s="25">
        <f>SUMIF(CapEx!$I$5:$I$34,U$3,CapEx!$H$5:$H$34)*(1+Assumptions!$H$10)</f>
        <v/>
      </c>
      <c r="V51" s="25">
        <f>SUMIF(CapEx!$I$5:$I$34,V$3,CapEx!$H$5:$H$34)*(1+Assumptions!$H$10)</f>
        <v/>
      </c>
      <c r="W51" s="25">
        <f>SUMIF(CapEx!$I$5:$I$34,W$3,CapEx!$H$5:$H$34)*(1+Assumptions!$H$10)</f>
        <v/>
      </c>
      <c r="X51" s="25">
        <f>SUMIF(CapEx!$I$5:$I$34,X$3,CapEx!$H$5:$H$34)*(1+Assumptions!$H$10)</f>
        <v/>
      </c>
      <c r="Y51" s="25">
        <f>SUMIF(CapEx!$I$5:$I$34,Y$3,CapEx!$H$5:$H$34)*(1+Assumptions!$H$10)</f>
        <v/>
      </c>
      <c r="Z51" s="25">
        <f>SUMIF(CapEx!$I$5:$I$34,Z$3,CapEx!$H$5:$H$34)*(1+Assumptions!$H$10)</f>
        <v/>
      </c>
      <c r="AA51" s="25">
        <f>SUMIF(CapEx!$I$5:$I$34,AA$3,CapEx!$H$5:$H$34)*(1+Assumptions!$H$10)</f>
        <v/>
      </c>
      <c r="AB51" s="25">
        <f>SUMIF(CapEx!$I$5:$I$34,AB$3,CapEx!$H$5:$H$34)*(1+Assumptions!$H$10)</f>
        <v/>
      </c>
      <c r="AC51" s="25">
        <f>SUMIF(CapEx!$I$5:$I$34,AC$3,CapEx!$H$5:$H$34)*(1+Assumptions!$H$10)</f>
        <v/>
      </c>
      <c r="AD51" s="25">
        <f>SUMIF(CapEx!$I$5:$I$34,AD$3,CapEx!$H$5:$H$34)*(1+Assumptions!$H$10)</f>
        <v/>
      </c>
      <c r="AE51" s="25">
        <f>SUMIF(CapEx!$I$5:$I$34,AE$3,CapEx!$H$5:$H$34)*(1+Assumptions!$H$10)</f>
        <v/>
      </c>
      <c r="AF51" s="25">
        <f>SUMIF(CapEx!$I$5:$I$34,AF$3,CapEx!$H$5:$H$34)*(1+Assumptions!$H$10)</f>
        <v/>
      </c>
      <c r="AG51" s="25">
        <f>SUMIF(CapEx!$I$5:$I$34,AG$3,CapEx!$H$5:$H$34)*(1+Assumptions!$H$10)</f>
        <v/>
      </c>
      <c r="AH51" s="25">
        <f>SUMIF(CapEx!$I$5:$I$34,AH$3,CapEx!$H$5:$H$34)*(1+Assumptions!$H$10)</f>
        <v/>
      </c>
      <c r="AI51" s="25">
        <f>SUMIF(CapEx!$I$5:$I$34,AI$3,CapEx!$H$5:$H$34)*(1+Assumptions!$H$10)</f>
        <v/>
      </c>
      <c r="AJ51" s="25">
        <f>SUMIF(CapEx!$I$5:$I$34,AJ$3,CapEx!$H$5:$H$34)*(1+Assumptions!$H$10)</f>
        <v/>
      </c>
      <c r="AK51" s="25">
        <f>SUMIF(CapEx!$I$5:$I$34,AK$3,CapEx!$H$5:$H$34)*(1+Assumptions!$H$10)</f>
        <v/>
      </c>
      <c r="AL51" s="25">
        <f>SUMIF(CapEx!$I$5:$I$34,AL$3,CapEx!$H$5:$H$34)*(1+Assumptions!$H$10)</f>
        <v/>
      </c>
      <c r="AM51" s="25">
        <f>SUMIF(CapEx!$I$5:$I$34,AM$3,CapEx!$H$5:$H$34)*(1+Assumptions!$H$10)</f>
        <v/>
      </c>
      <c r="AN51" s="25">
        <f>SUMIF(CapEx!$I$5:$I$34,AN$3,CapEx!$H$5:$H$34)*(1+Assumptions!$H$10)</f>
        <v/>
      </c>
      <c r="AO51" s="25">
        <f>SUMIF(CapEx!$I$5:$I$34,AO$3,CapEx!$H$5:$H$34)*(1+Assumptions!$H$10)</f>
        <v/>
      </c>
      <c r="AP51" s="25">
        <f>SUMIF(CapEx!$I$5:$I$34,AP$3,CapEx!$H$5:$H$34)*(1+Assumptions!$H$10)</f>
        <v/>
      </c>
      <c r="AQ51" s="25">
        <f>SUMIF(CapEx!$I$5:$I$34,AQ$3,CapEx!$H$5:$H$34)*(1+Assumptions!$H$10)</f>
        <v/>
      </c>
      <c r="AR51" s="25">
        <f>SUMIF(CapEx!$I$5:$I$34,AR$3,CapEx!$H$5:$H$34)*(1+Assumptions!$H$10)</f>
        <v/>
      </c>
      <c r="AS51" s="25">
        <f>SUMIF(CapEx!$I$5:$I$34,AS$3,CapEx!$H$5:$H$34)*(1+Assumptions!$H$10)</f>
        <v/>
      </c>
      <c r="AT51" s="25">
        <f>SUMIF(CapEx!$I$5:$I$34,AT$3,CapEx!$H$5:$H$34)*(1+Assumptions!$H$10)</f>
        <v/>
      </c>
      <c r="AU51" s="25">
        <f>SUMIF(CapEx!$I$5:$I$34,AU$3,CapEx!$H$5:$H$34)*(1+Assumptions!$H$10)</f>
        <v/>
      </c>
      <c r="AV51" s="25">
        <f>SUMIF(CapEx!$I$5:$I$34,AV$3,CapEx!$H$5:$H$34)*(1+Assumptions!$H$10)</f>
        <v/>
      </c>
      <c r="AW51" s="25">
        <f>SUMIF(CapEx!$I$5:$I$34,AW$3,CapEx!$H$5:$H$34)*(1+Assumptions!$H$10)</f>
        <v/>
      </c>
      <c r="AX51" s="25">
        <f>SUMIF(CapEx!$I$5:$I$34,AX$3,CapEx!$H$5:$H$34)*(1+Assumptions!$H$10)</f>
        <v/>
      </c>
      <c r="AY51" s="25">
        <f>SUMIF(CapEx!$I$5:$I$34,AY$3,CapEx!$H$5:$H$34)*(1+Assumptions!$H$10)</f>
        <v/>
      </c>
      <c r="AZ51" s="25">
        <f>SUMIF(CapEx!$I$5:$I$34,AZ$3,CapEx!$H$5:$H$34)*(1+Assumptions!$H$10)</f>
        <v/>
      </c>
      <c r="BA51" s="25">
        <f>SUMIF(CapEx!$I$5:$I$34,BA$3,CapEx!$H$5:$H$34)*(1+Assumptions!$H$10)</f>
        <v/>
      </c>
      <c r="BB51" s="25">
        <f>SUMIF(CapEx!$I$5:$I$34,BB$3,CapEx!$H$5:$H$34)*(1+Assumptions!$H$10)</f>
        <v/>
      </c>
      <c r="BC51" s="25">
        <f>SUMIF(CapEx!$I$5:$I$34,BC$3,CapEx!$H$5:$H$34)*(1+Assumptions!$H$10)</f>
        <v/>
      </c>
      <c r="BD51" s="25">
        <f>SUMIF(CapEx!$I$5:$I$34,BD$3,CapEx!$H$5:$H$34)*(1+Assumptions!$H$10)</f>
        <v/>
      </c>
      <c r="BE51" s="25">
        <f>SUMIF(CapEx!$I$5:$I$34,BE$3,CapEx!$H$5:$H$34)*(1+Assumptions!$H$10)</f>
        <v/>
      </c>
      <c r="BF51" s="25">
        <f>SUMIF(CapEx!$I$5:$I$34,BF$3,CapEx!$H$5:$H$34)*(1+Assumptions!$H$10)</f>
        <v/>
      </c>
      <c r="BG51" s="25">
        <f>SUMIF(CapEx!$I$5:$I$34,BG$3,CapEx!$H$5:$H$34)*(1+Assumptions!$H$10)</f>
        <v/>
      </c>
      <c r="BH51" s="25">
        <f>SUMIF(CapEx!$I$5:$I$34,BH$3,CapEx!$H$5:$H$34)*(1+Assumptions!$H$10)</f>
        <v/>
      </c>
      <c r="BI51" s="25">
        <f>SUMIF(CapEx!$I$5:$I$34,BI$3,CapEx!$H$5:$H$34)*(1+Assumptions!$H$10)</f>
        <v/>
      </c>
      <c r="BJ51" s="25">
        <f>SUMIF(CapEx!$I$5:$I$34,BJ$3,CapEx!$H$5:$H$34)*(1+Assumptions!$H$10)</f>
        <v/>
      </c>
      <c r="BK51" s="25">
        <f>SUMIF(CapEx!$I$5:$I$34,BK$3,CapEx!$H$5:$H$34)*(1+Assumptions!$H$10)</f>
        <v/>
      </c>
      <c r="BL51" s="25">
        <f>SUMIF(CapEx!$I$5:$I$34,BL$3,CapEx!$H$5:$H$34)*(1+Assumptions!$H$10)</f>
        <v/>
      </c>
      <c r="BM51" s="25">
        <f>SUMIF(CapEx!$I$5:$I$34,BM$3,CapEx!$H$5:$H$34)*(1+Assumptions!$H$10)</f>
        <v/>
      </c>
      <c r="BN51" s="25">
        <f>SUMIF(CapEx!$I$5:$I$34,BN$3,CapEx!$H$5:$H$34)*(1+Assumptions!$H$10)</f>
        <v/>
      </c>
      <c r="BO51" s="25">
        <f>SUMIF(CapEx!$I$5:$I$34,BO$3,CapEx!$H$5:$H$34)*(1+Assumptions!$H$10)</f>
        <v/>
      </c>
      <c r="BP51" s="25">
        <f>SUMIF(CapEx!$I$5:$I$34,BP$3,CapEx!$H$5:$H$34)*(1+Assumptions!$H$10)</f>
        <v/>
      </c>
      <c r="BQ51" s="25">
        <f>SUMIF(CapEx!$I$5:$I$34,BQ$3,CapEx!$H$5:$H$34)*(1+Assumptions!$H$10)</f>
        <v/>
      </c>
      <c r="BR51" s="25">
        <f>SUMIF(CapEx!$I$5:$I$34,BR$3,CapEx!$H$5:$H$34)*(1+Assumptions!$H$10)</f>
        <v/>
      </c>
      <c r="BS51" s="25">
        <f>SUMIF(CapEx!$I$5:$I$34,BS$3,CapEx!$H$5:$H$34)*(1+Assumptions!$H$10)</f>
        <v/>
      </c>
      <c r="BT51" s="25">
        <f>SUMIF(CapEx!$I$5:$I$34,BT$3,CapEx!$H$5:$H$34)*(1+Assumptions!$H$10)</f>
        <v/>
      </c>
      <c r="BU51" s="25">
        <f>SUMIF(CapEx!$I$5:$I$34,BU$3,CapEx!$H$5:$H$34)*(1+Assumptions!$H$10)</f>
        <v/>
      </c>
      <c r="BV51" s="25">
        <f>SUMIF(CapEx!$I$5:$I$34,BV$3,CapEx!$H$5:$H$34)*(1+Assumptions!$H$10)</f>
        <v/>
      </c>
      <c r="BW51" s="25">
        <f>SUMIF(CapEx!$I$5:$I$34,BW$3,CapEx!$H$5:$H$34)*(1+Assumptions!$H$10)</f>
        <v/>
      </c>
      <c r="BX51" s="25">
        <f>SUMIF(CapEx!$I$5:$I$34,BX$3,CapEx!$H$5:$H$34)*(1+Assumptions!$H$10)</f>
        <v/>
      </c>
      <c r="BY51" s="25">
        <f>SUMIF(CapEx!$I$5:$I$34,BY$3,CapEx!$H$5:$H$34)*(1+Assumptions!$H$10)</f>
        <v/>
      </c>
      <c r="BZ51" s="25">
        <f>SUMIF(CapEx!$I$5:$I$34,BZ$3,CapEx!$H$5:$H$34)*(1+Assumptions!$H$10)</f>
        <v/>
      </c>
      <c r="CA51" s="25">
        <f>SUMIF(CapEx!$I$5:$I$34,CA$3,CapEx!$H$5:$H$34)*(1+Assumptions!$H$10)</f>
        <v/>
      </c>
      <c r="CB51" s="25">
        <f>SUMIF(CapEx!$I$5:$I$34,CB$3,CapEx!$H$5:$H$34)*(1+Assumptions!$H$10)</f>
        <v/>
      </c>
      <c r="CC51" s="25">
        <f>SUMIF(CapEx!$I$5:$I$34,CC$3,CapEx!$H$5:$H$34)*(1+Assumptions!$H$10)</f>
        <v/>
      </c>
      <c r="CD51" s="25">
        <f>SUMIF(CapEx!$I$5:$I$34,CD$3,CapEx!$H$5:$H$34)*(1+Assumptions!$H$10)</f>
        <v/>
      </c>
      <c r="CE51" s="25">
        <f>SUMIF(CapEx!$I$5:$I$34,CE$3,CapEx!$H$5:$H$34)*(1+Assumptions!$H$10)</f>
        <v/>
      </c>
      <c r="CF51" s="25">
        <f>SUMIF(CapEx!$I$5:$I$34,CF$3,CapEx!$H$5:$H$34)*(1+Assumptions!$H$10)</f>
        <v/>
      </c>
      <c r="CG51" s="25">
        <f>SUMIF(CapEx!$I$5:$I$34,CG$3,CapEx!$H$5:$H$34)*(1+Assumptions!$H$10)</f>
        <v/>
      </c>
      <c r="CH51" s="25">
        <f>SUMIF(CapEx!$I$5:$I$34,CH$3,CapEx!$H$5:$H$34)*(1+Assumptions!$H$10)</f>
        <v/>
      </c>
      <c r="CI51" s="25">
        <f>SUMIF(CapEx!$I$5:$I$34,CI$3,CapEx!$H$5:$H$34)*(1+Assumptions!$H$10)</f>
        <v/>
      </c>
      <c r="CJ51" s="25">
        <f>SUMIF(CapEx!$I$5:$I$34,CJ$3,CapEx!$H$5:$H$34)*(1+Assumptions!$H$10)</f>
        <v/>
      </c>
      <c r="CK51" s="25">
        <f>SUMIF(CapEx!$I$5:$I$34,CK$3,CapEx!$H$5:$H$34)*(1+Assumptions!$H$10)</f>
        <v/>
      </c>
      <c r="CL51" s="25">
        <f>SUMIF(CapEx!$I$5:$I$34,CL$3,CapEx!$H$5:$H$34)*(1+Assumptions!$H$10)</f>
        <v/>
      </c>
      <c r="CM51" s="25">
        <f>SUMIF(CapEx!$I$5:$I$34,CM$3,CapEx!$H$5:$H$34)*(1+Assumptions!$H$10)</f>
        <v/>
      </c>
      <c r="CN51" s="25">
        <f>SUMIF(CapEx!$I$5:$I$34,CN$3,CapEx!$H$5:$H$34)*(1+Assumptions!$H$10)</f>
        <v/>
      </c>
      <c r="CO51" s="25">
        <f>SUMIF(CapEx!$I$5:$I$34,CO$3,CapEx!$H$5:$H$34)*(1+Assumptions!$H$10)</f>
        <v/>
      </c>
      <c r="CP51" s="25">
        <f>SUMIF(CapEx!$I$5:$I$34,CP$3,CapEx!$H$5:$H$34)*(1+Assumptions!$H$10)</f>
        <v/>
      </c>
      <c r="CQ51" s="25">
        <f>SUMIF(CapEx!$I$5:$I$34,CQ$3,CapEx!$H$5:$H$34)*(1+Assumptions!$H$10)</f>
        <v/>
      </c>
      <c r="CR51" s="25">
        <f>SUMIF(CapEx!$I$5:$I$34,CR$3,CapEx!$H$5:$H$34)*(1+Assumptions!$H$10)</f>
        <v/>
      </c>
      <c r="CS51" s="25">
        <f>SUMIF(CapEx!$I$5:$I$34,CS$3,CapEx!$H$5:$H$34)*(1+Assumptions!$H$10)</f>
        <v/>
      </c>
      <c r="CT51" s="25">
        <f>SUMIF(CapEx!$I$5:$I$34,CT$3,CapEx!$H$5:$H$34)*(1+Assumptions!$H$10)</f>
        <v/>
      </c>
      <c r="CU51" s="25">
        <f>SUMIF(CapEx!$I$5:$I$34,CU$3,CapEx!$H$5:$H$34)*(1+Assumptions!$H$10)</f>
        <v/>
      </c>
      <c r="CV51" s="25">
        <f>SUMIF(CapEx!$I$5:$I$34,CV$3,CapEx!$H$5:$H$34)*(1+Assumptions!$H$10)</f>
        <v/>
      </c>
      <c r="CW51" s="25">
        <f>SUMIF(CapEx!$I$5:$I$34,CW$3,CapEx!$H$5:$H$34)*(1+Assumptions!$H$10)</f>
        <v/>
      </c>
      <c r="CX51" s="25">
        <f>SUMIF(CapEx!$I$5:$I$34,CX$3,CapEx!$H$5:$H$34)*(1+Assumptions!$H$10)</f>
        <v/>
      </c>
      <c r="CY51" s="25">
        <f>SUMIF(CapEx!$I$5:$I$34,CY$3,CapEx!$H$5:$H$34)*(1+Assumptions!$H$10)</f>
        <v/>
      </c>
      <c r="CZ51" s="25">
        <f>SUMIF(CapEx!$I$5:$I$34,CZ$3,CapEx!$H$5:$H$34)*(1+Assumptions!$H$10)</f>
        <v/>
      </c>
      <c r="DA51" s="25">
        <f>SUMIF(CapEx!$I$5:$I$34,DA$3,CapEx!$H$5:$H$34)*(1+Assumptions!$H$10)</f>
        <v/>
      </c>
      <c r="DB51" s="25">
        <f>SUMIF(CapEx!$I$5:$I$34,DB$3,CapEx!$H$5:$H$34)*(1+Assumptions!$H$10)</f>
        <v/>
      </c>
      <c r="DC51" s="25">
        <f>SUMIF(CapEx!$I$5:$I$34,DC$3,CapEx!$H$5:$H$34)*(1+Assumptions!$H$10)</f>
        <v/>
      </c>
      <c r="DD51" s="25">
        <f>SUMIF(CapEx!$I$5:$I$34,DD$3,CapEx!$H$5:$H$34)*(1+Assumptions!$H$10)</f>
        <v/>
      </c>
      <c r="DE51" s="25">
        <f>SUMIF(CapEx!$I$5:$I$34,DE$3,CapEx!$H$5:$H$34)*(1+Assumptions!$H$10)</f>
        <v/>
      </c>
      <c r="DF51" s="25">
        <f>SUMIF(CapEx!$I$5:$I$34,DF$3,CapEx!$H$5:$H$34)*(1+Assumptions!$H$10)</f>
        <v/>
      </c>
      <c r="DG51" s="25">
        <f>SUMIF(CapEx!$I$5:$I$34,DG$3,CapEx!$H$5:$H$34)*(1+Assumptions!$H$10)</f>
        <v/>
      </c>
      <c r="DH51" s="25">
        <f>SUMIF(CapEx!$I$5:$I$34,DH$3,CapEx!$H$5:$H$34)*(1+Assumptions!$H$10)</f>
        <v/>
      </c>
      <c r="DI51" s="25">
        <f>SUMIF(CapEx!$I$5:$I$34,DI$3,CapEx!$H$5:$H$34)*(1+Assumptions!$H$10)</f>
        <v/>
      </c>
      <c r="DJ51" s="25">
        <f>SUMIF(CapEx!$I$5:$I$34,DJ$3,CapEx!$H$5:$H$34)*(1+Assumptions!$H$10)</f>
        <v/>
      </c>
      <c r="DK51" s="25">
        <f>SUMIF(CapEx!$I$5:$I$34,DK$3,CapEx!$H$5:$H$34)*(1+Assumptions!$H$10)</f>
        <v/>
      </c>
      <c r="DL51" s="25">
        <f>SUMIF(CapEx!$I$5:$I$34,DL$3,CapEx!$H$5:$H$34)*(1+Assumptions!$H$10)</f>
        <v/>
      </c>
      <c r="DM51" s="25">
        <f>SUMIF(CapEx!$I$5:$I$34,DM$3,CapEx!$H$5:$H$34)*(1+Assumptions!$H$10)</f>
        <v/>
      </c>
      <c r="DN51" s="25">
        <f>SUMIF(CapEx!$I$5:$I$34,DN$3,CapEx!$H$5:$H$34)*(1+Assumptions!$H$10)</f>
        <v/>
      </c>
      <c r="DO51" s="25">
        <f>SUMIF(CapEx!$I$5:$I$34,DO$3,CapEx!$H$5:$H$34)*(1+Assumptions!$H$10)</f>
        <v/>
      </c>
      <c r="DP51" s="25">
        <f>SUMIF(CapEx!$I$5:$I$34,DP$3,CapEx!$H$5:$H$34)*(1+Assumptions!$H$10)</f>
        <v/>
      </c>
      <c r="DQ51" s="25">
        <f>SUMIF(CapEx!$I$5:$I$34,DQ$3,CapEx!$H$5:$H$34)*(1+Assumptions!$H$10)</f>
        <v/>
      </c>
      <c r="DR51" s="25">
        <f>SUMIF(CapEx!$I$5:$I$34,DR$3,CapEx!$H$5:$H$34)*(1+Assumptions!$H$10)</f>
        <v/>
      </c>
      <c r="DS51" s="25">
        <f>SUMIF(CapEx!$I$5:$I$34,DS$3,CapEx!$H$5:$H$34)*(1+Assumptions!$H$10)</f>
        <v/>
      </c>
    </row>
    <row r="52">
      <c r="A52" s="2" t="inlineStr">
        <is>
          <t>CF_ANIMALS</t>
        </is>
      </c>
      <c r="B52" s="6" t="inlineStr">
        <is>
          <t>Animal purchases</t>
        </is>
      </c>
      <c r="C52" s="2" t="inlineStr">
        <is>
          <t>RWF</t>
        </is>
      </c>
      <c r="D52" s="10">
        <f>Livestock!D28+Livestock!D52</f>
        <v/>
      </c>
      <c r="E52" s="10">
        <f>Livestock!E28+Livestock!E52</f>
        <v/>
      </c>
      <c r="F52" s="10">
        <f>Livestock!F28+Livestock!F52</f>
        <v/>
      </c>
      <c r="G52" s="10">
        <f>Livestock!G28+Livestock!G52</f>
        <v/>
      </c>
      <c r="H52" s="10">
        <f>Livestock!H28+Livestock!H52</f>
        <v/>
      </c>
      <c r="I52" s="10">
        <f>Livestock!I28+Livestock!I52</f>
        <v/>
      </c>
      <c r="J52" s="10">
        <f>Livestock!J28+Livestock!J52</f>
        <v/>
      </c>
      <c r="K52" s="10">
        <f>Livestock!K28+Livestock!K52</f>
        <v/>
      </c>
      <c r="L52" s="10">
        <f>Livestock!L28+Livestock!L52</f>
        <v/>
      </c>
      <c r="M52" s="10">
        <f>Livestock!M28+Livestock!M52</f>
        <v/>
      </c>
      <c r="N52" s="10">
        <f>Livestock!N28+Livestock!N52</f>
        <v/>
      </c>
      <c r="O52" s="10">
        <f>Livestock!O28+Livestock!O52</f>
        <v/>
      </c>
      <c r="P52" s="10">
        <f>Livestock!P28+Livestock!P52</f>
        <v/>
      </c>
      <c r="Q52" s="10">
        <f>Livestock!Q28+Livestock!Q52</f>
        <v/>
      </c>
      <c r="R52" s="10">
        <f>Livestock!R28+Livestock!R52</f>
        <v/>
      </c>
      <c r="S52" s="10">
        <f>Livestock!S28+Livestock!S52</f>
        <v/>
      </c>
      <c r="T52" s="10">
        <f>Livestock!T28+Livestock!T52</f>
        <v/>
      </c>
      <c r="U52" s="10">
        <f>Livestock!U28+Livestock!U52</f>
        <v/>
      </c>
      <c r="V52" s="10">
        <f>Livestock!V28+Livestock!V52</f>
        <v/>
      </c>
      <c r="W52" s="10">
        <f>Livestock!W28+Livestock!W52</f>
        <v/>
      </c>
      <c r="X52" s="10">
        <f>Livestock!X28+Livestock!X52</f>
        <v/>
      </c>
      <c r="Y52" s="10">
        <f>Livestock!Y28+Livestock!Y52</f>
        <v/>
      </c>
      <c r="Z52" s="10">
        <f>Livestock!Z28+Livestock!Z52</f>
        <v/>
      </c>
      <c r="AA52" s="10">
        <f>Livestock!AA28+Livestock!AA52</f>
        <v/>
      </c>
      <c r="AB52" s="10">
        <f>Livestock!AB28+Livestock!AB52</f>
        <v/>
      </c>
      <c r="AC52" s="10">
        <f>Livestock!AC28+Livestock!AC52</f>
        <v/>
      </c>
      <c r="AD52" s="10">
        <f>Livestock!AD28+Livestock!AD52</f>
        <v/>
      </c>
      <c r="AE52" s="10">
        <f>Livestock!AE28+Livestock!AE52</f>
        <v/>
      </c>
      <c r="AF52" s="10">
        <f>Livestock!AF28+Livestock!AF52</f>
        <v/>
      </c>
      <c r="AG52" s="10">
        <f>Livestock!AG28+Livestock!AG52</f>
        <v/>
      </c>
      <c r="AH52" s="10">
        <f>Livestock!AH28+Livestock!AH52</f>
        <v/>
      </c>
      <c r="AI52" s="10">
        <f>Livestock!AI28+Livestock!AI52</f>
        <v/>
      </c>
      <c r="AJ52" s="10">
        <f>Livestock!AJ28+Livestock!AJ52</f>
        <v/>
      </c>
      <c r="AK52" s="10">
        <f>Livestock!AK28+Livestock!AK52</f>
        <v/>
      </c>
      <c r="AL52" s="10">
        <f>Livestock!AL28+Livestock!AL52</f>
        <v/>
      </c>
      <c r="AM52" s="10">
        <f>Livestock!AM28+Livestock!AM52</f>
        <v/>
      </c>
      <c r="AN52" s="10">
        <f>Livestock!AN28+Livestock!AN52</f>
        <v/>
      </c>
      <c r="AO52" s="10">
        <f>Livestock!AO28+Livestock!AO52</f>
        <v/>
      </c>
      <c r="AP52" s="10">
        <f>Livestock!AP28+Livestock!AP52</f>
        <v/>
      </c>
      <c r="AQ52" s="10">
        <f>Livestock!AQ28+Livestock!AQ52</f>
        <v/>
      </c>
      <c r="AR52" s="10">
        <f>Livestock!AR28+Livestock!AR52</f>
        <v/>
      </c>
      <c r="AS52" s="10">
        <f>Livestock!AS28+Livestock!AS52</f>
        <v/>
      </c>
      <c r="AT52" s="10">
        <f>Livestock!AT28+Livestock!AT52</f>
        <v/>
      </c>
      <c r="AU52" s="10">
        <f>Livestock!AU28+Livestock!AU52</f>
        <v/>
      </c>
      <c r="AV52" s="10">
        <f>Livestock!AV28+Livestock!AV52</f>
        <v/>
      </c>
      <c r="AW52" s="10">
        <f>Livestock!AW28+Livestock!AW52</f>
        <v/>
      </c>
      <c r="AX52" s="10">
        <f>Livestock!AX28+Livestock!AX52</f>
        <v/>
      </c>
      <c r="AY52" s="10">
        <f>Livestock!AY28+Livestock!AY52</f>
        <v/>
      </c>
      <c r="AZ52" s="10">
        <f>Livestock!AZ28+Livestock!AZ52</f>
        <v/>
      </c>
      <c r="BA52" s="10">
        <f>Livestock!BA28+Livestock!BA52</f>
        <v/>
      </c>
      <c r="BB52" s="10">
        <f>Livestock!BB28+Livestock!BB52</f>
        <v/>
      </c>
      <c r="BC52" s="10">
        <f>Livestock!BC28+Livestock!BC52</f>
        <v/>
      </c>
      <c r="BD52" s="10">
        <f>Livestock!BD28+Livestock!BD52</f>
        <v/>
      </c>
      <c r="BE52" s="10">
        <f>Livestock!BE28+Livestock!BE52</f>
        <v/>
      </c>
      <c r="BF52" s="10">
        <f>Livestock!BF28+Livestock!BF52</f>
        <v/>
      </c>
      <c r="BG52" s="10">
        <f>Livestock!BG28+Livestock!BG52</f>
        <v/>
      </c>
      <c r="BH52" s="10">
        <f>Livestock!BH28+Livestock!BH52</f>
        <v/>
      </c>
      <c r="BI52" s="10">
        <f>Livestock!BI28+Livestock!BI52</f>
        <v/>
      </c>
      <c r="BJ52" s="10">
        <f>Livestock!BJ28+Livestock!BJ52</f>
        <v/>
      </c>
      <c r="BK52" s="10">
        <f>Livestock!BK28+Livestock!BK52</f>
        <v/>
      </c>
      <c r="BL52" s="10">
        <f>Livestock!BL28+Livestock!BL52</f>
        <v/>
      </c>
      <c r="BM52" s="10">
        <f>Livestock!BM28+Livestock!BM52</f>
        <v/>
      </c>
      <c r="BN52" s="10">
        <f>Livestock!BN28+Livestock!BN52</f>
        <v/>
      </c>
      <c r="BO52" s="10">
        <f>Livestock!BO28+Livestock!BO52</f>
        <v/>
      </c>
      <c r="BP52" s="10">
        <f>Livestock!BP28+Livestock!BP52</f>
        <v/>
      </c>
      <c r="BQ52" s="10">
        <f>Livestock!BQ28+Livestock!BQ52</f>
        <v/>
      </c>
      <c r="BR52" s="10">
        <f>Livestock!BR28+Livestock!BR52</f>
        <v/>
      </c>
      <c r="BS52" s="10">
        <f>Livestock!BS28+Livestock!BS52</f>
        <v/>
      </c>
      <c r="BT52" s="10">
        <f>Livestock!BT28+Livestock!BT52</f>
        <v/>
      </c>
      <c r="BU52" s="10">
        <f>Livestock!BU28+Livestock!BU52</f>
        <v/>
      </c>
      <c r="BV52" s="10">
        <f>Livestock!BV28+Livestock!BV52</f>
        <v/>
      </c>
      <c r="BW52" s="10">
        <f>Livestock!BW28+Livestock!BW52</f>
        <v/>
      </c>
      <c r="BX52" s="10">
        <f>Livestock!BX28+Livestock!BX52</f>
        <v/>
      </c>
      <c r="BY52" s="10">
        <f>Livestock!BY28+Livestock!BY52</f>
        <v/>
      </c>
      <c r="BZ52" s="10">
        <f>Livestock!BZ28+Livestock!BZ52</f>
        <v/>
      </c>
      <c r="CA52" s="10">
        <f>Livestock!CA28+Livestock!CA52</f>
        <v/>
      </c>
      <c r="CB52" s="10">
        <f>Livestock!CB28+Livestock!CB52</f>
        <v/>
      </c>
      <c r="CC52" s="10">
        <f>Livestock!CC28+Livestock!CC52</f>
        <v/>
      </c>
      <c r="CD52" s="10">
        <f>Livestock!CD28+Livestock!CD52</f>
        <v/>
      </c>
      <c r="CE52" s="10">
        <f>Livestock!CE28+Livestock!CE52</f>
        <v/>
      </c>
      <c r="CF52" s="10">
        <f>Livestock!CF28+Livestock!CF52</f>
        <v/>
      </c>
      <c r="CG52" s="10">
        <f>Livestock!CG28+Livestock!CG52</f>
        <v/>
      </c>
      <c r="CH52" s="10">
        <f>Livestock!CH28+Livestock!CH52</f>
        <v/>
      </c>
      <c r="CI52" s="10">
        <f>Livestock!CI28+Livestock!CI52</f>
        <v/>
      </c>
      <c r="CJ52" s="10">
        <f>Livestock!CJ28+Livestock!CJ52</f>
        <v/>
      </c>
      <c r="CK52" s="10">
        <f>Livestock!CK28+Livestock!CK52</f>
        <v/>
      </c>
      <c r="CL52" s="10">
        <f>Livestock!CL28+Livestock!CL52</f>
        <v/>
      </c>
      <c r="CM52" s="10">
        <f>Livestock!CM28+Livestock!CM52</f>
        <v/>
      </c>
      <c r="CN52" s="10">
        <f>Livestock!CN28+Livestock!CN52</f>
        <v/>
      </c>
      <c r="CO52" s="10">
        <f>Livestock!CO28+Livestock!CO52</f>
        <v/>
      </c>
      <c r="CP52" s="10">
        <f>Livestock!CP28+Livestock!CP52</f>
        <v/>
      </c>
      <c r="CQ52" s="10">
        <f>Livestock!CQ28+Livestock!CQ52</f>
        <v/>
      </c>
      <c r="CR52" s="10">
        <f>Livestock!CR28+Livestock!CR52</f>
        <v/>
      </c>
      <c r="CS52" s="10">
        <f>Livestock!CS28+Livestock!CS52</f>
        <v/>
      </c>
      <c r="CT52" s="10">
        <f>Livestock!CT28+Livestock!CT52</f>
        <v/>
      </c>
      <c r="CU52" s="10">
        <f>Livestock!CU28+Livestock!CU52</f>
        <v/>
      </c>
      <c r="CV52" s="10">
        <f>Livestock!CV28+Livestock!CV52</f>
        <v/>
      </c>
      <c r="CW52" s="10">
        <f>Livestock!CW28+Livestock!CW52</f>
        <v/>
      </c>
      <c r="CX52" s="10">
        <f>Livestock!CX28+Livestock!CX52</f>
        <v/>
      </c>
      <c r="CY52" s="10">
        <f>Livestock!CY28+Livestock!CY52</f>
        <v/>
      </c>
      <c r="CZ52" s="10">
        <f>Livestock!CZ28+Livestock!CZ52</f>
        <v/>
      </c>
      <c r="DA52" s="10">
        <f>Livestock!DA28+Livestock!DA52</f>
        <v/>
      </c>
      <c r="DB52" s="10">
        <f>Livestock!DB28+Livestock!DB52</f>
        <v/>
      </c>
      <c r="DC52" s="10">
        <f>Livestock!DC28+Livestock!DC52</f>
        <v/>
      </c>
      <c r="DD52" s="10">
        <f>Livestock!DD28+Livestock!DD52</f>
        <v/>
      </c>
      <c r="DE52" s="10">
        <f>Livestock!DE28+Livestock!DE52</f>
        <v/>
      </c>
      <c r="DF52" s="10">
        <f>Livestock!DF28+Livestock!DF52</f>
        <v/>
      </c>
      <c r="DG52" s="10">
        <f>Livestock!DG28+Livestock!DG52</f>
        <v/>
      </c>
      <c r="DH52" s="10">
        <f>Livestock!DH28+Livestock!DH52</f>
        <v/>
      </c>
      <c r="DI52" s="10">
        <f>Livestock!DI28+Livestock!DI52</f>
        <v/>
      </c>
      <c r="DJ52" s="10">
        <f>Livestock!DJ28+Livestock!DJ52</f>
        <v/>
      </c>
      <c r="DK52" s="10">
        <f>Livestock!DK28+Livestock!DK52</f>
        <v/>
      </c>
      <c r="DL52" s="10">
        <f>Livestock!DL28+Livestock!DL52</f>
        <v/>
      </c>
      <c r="DM52" s="10">
        <f>Livestock!DM28+Livestock!DM52</f>
        <v/>
      </c>
      <c r="DN52" s="10">
        <f>Livestock!DN28+Livestock!DN52</f>
        <v/>
      </c>
      <c r="DO52" s="10">
        <f>Livestock!DO28+Livestock!DO52</f>
        <v/>
      </c>
      <c r="DP52" s="10">
        <f>Livestock!DP28+Livestock!DP52</f>
        <v/>
      </c>
      <c r="DQ52" s="10">
        <f>Livestock!DQ28+Livestock!DQ52</f>
        <v/>
      </c>
      <c r="DR52" s="10">
        <f>Livestock!DR28+Livestock!DR52</f>
        <v/>
      </c>
      <c r="DS52" s="10">
        <f>Livestock!DS28+Livestock!DS52</f>
        <v/>
      </c>
    </row>
    <row r="53">
      <c r="A53" s="2" t="inlineStr">
        <is>
          <t>CF_INVEST</t>
        </is>
      </c>
      <c r="B53" s="3" t="inlineStr">
        <is>
          <t>Total investment</t>
        </is>
      </c>
      <c r="C53" s="2" t="inlineStr">
        <is>
          <t>RWF</t>
        </is>
      </c>
      <c r="D53" s="37">
        <f>D51+D52</f>
        <v/>
      </c>
      <c r="E53" s="37">
        <f>E51+E52</f>
        <v/>
      </c>
      <c r="F53" s="37">
        <f>F51+F52</f>
        <v/>
      </c>
      <c r="G53" s="37">
        <f>G51+G52</f>
        <v/>
      </c>
      <c r="H53" s="37">
        <f>H51+H52</f>
        <v/>
      </c>
      <c r="I53" s="37">
        <f>I51+I52</f>
        <v/>
      </c>
      <c r="J53" s="37">
        <f>J51+J52</f>
        <v/>
      </c>
      <c r="K53" s="37">
        <f>K51+K52</f>
        <v/>
      </c>
      <c r="L53" s="37">
        <f>L51+L52</f>
        <v/>
      </c>
      <c r="M53" s="37">
        <f>M51+M52</f>
        <v/>
      </c>
      <c r="N53" s="37">
        <f>N51+N52</f>
        <v/>
      </c>
      <c r="O53" s="37">
        <f>O51+O52</f>
        <v/>
      </c>
      <c r="P53" s="37">
        <f>P51+P52</f>
        <v/>
      </c>
      <c r="Q53" s="37">
        <f>Q51+Q52</f>
        <v/>
      </c>
      <c r="R53" s="37">
        <f>R51+R52</f>
        <v/>
      </c>
      <c r="S53" s="37">
        <f>S51+S52</f>
        <v/>
      </c>
      <c r="T53" s="37">
        <f>T51+T52</f>
        <v/>
      </c>
      <c r="U53" s="37">
        <f>U51+U52</f>
        <v/>
      </c>
      <c r="V53" s="37">
        <f>V51+V52</f>
        <v/>
      </c>
      <c r="W53" s="37">
        <f>W51+W52</f>
        <v/>
      </c>
      <c r="X53" s="37">
        <f>X51+X52</f>
        <v/>
      </c>
      <c r="Y53" s="37">
        <f>Y51+Y52</f>
        <v/>
      </c>
      <c r="Z53" s="37">
        <f>Z51+Z52</f>
        <v/>
      </c>
      <c r="AA53" s="37">
        <f>AA51+AA52</f>
        <v/>
      </c>
      <c r="AB53" s="37">
        <f>AB51+AB52</f>
        <v/>
      </c>
      <c r="AC53" s="37">
        <f>AC51+AC52</f>
        <v/>
      </c>
      <c r="AD53" s="37">
        <f>AD51+AD52</f>
        <v/>
      </c>
      <c r="AE53" s="37">
        <f>AE51+AE52</f>
        <v/>
      </c>
      <c r="AF53" s="37">
        <f>AF51+AF52</f>
        <v/>
      </c>
      <c r="AG53" s="37">
        <f>AG51+AG52</f>
        <v/>
      </c>
      <c r="AH53" s="37">
        <f>AH51+AH52</f>
        <v/>
      </c>
      <c r="AI53" s="37">
        <f>AI51+AI52</f>
        <v/>
      </c>
      <c r="AJ53" s="37">
        <f>AJ51+AJ52</f>
        <v/>
      </c>
      <c r="AK53" s="37">
        <f>AK51+AK52</f>
        <v/>
      </c>
      <c r="AL53" s="37">
        <f>AL51+AL52</f>
        <v/>
      </c>
      <c r="AM53" s="37">
        <f>AM51+AM52</f>
        <v/>
      </c>
      <c r="AN53" s="37">
        <f>AN51+AN52</f>
        <v/>
      </c>
      <c r="AO53" s="37">
        <f>AO51+AO52</f>
        <v/>
      </c>
      <c r="AP53" s="37">
        <f>AP51+AP52</f>
        <v/>
      </c>
      <c r="AQ53" s="37">
        <f>AQ51+AQ52</f>
        <v/>
      </c>
      <c r="AR53" s="37">
        <f>AR51+AR52</f>
        <v/>
      </c>
      <c r="AS53" s="37">
        <f>AS51+AS52</f>
        <v/>
      </c>
      <c r="AT53" s="37">
        <f>AT51+AT52</f>
        <v/>
      </c>
      <c r="AU53" s="37">
        <f>AU51+AU52</f>
        <v/>
      </c>
      <c r="AV53" s="37">
        <f>AV51+AV52</f>
        <v/>
      </c>
      <c r="AW53" s="37">
        <f>AW51+AW52</f>
        <v/>
      </c>
      <c r="AX53" s="37">
        <f>AX51+AX52</f>
        <v/>
      </c>
      <c r="AY53" s="37">
        <f>AY51+AY52</f>
        <v/>
      </c>
      <c r="AZ53" s="37">
        <f>AZ51+AZ52</f>
        <v/>
      </c>
      <c r="BA53" s="37">
        <f>BA51+BA52</f>
        <v/>
      </c>
      <c r="BB53" s="37">
        <f>BB51+BB52</f>
        <v/>
      </c>
      <c r="BC53" s="37">
        <f>BC51+BC52</f>
        <v/>
      </c>
      <c r="BD53" s="37">
        <f>BD51+BD52</f>
        <v/>
      </c>
      <c r="BE53" s="37">
        <f>BE51+BE52</f>
        <v/>
      </c>
      <c r="BF53" s="37">
        <f>BF51+BF52</f>
        <v/>
      </c>
      <c r="BG53" s="37">
        <f>BG51+BG52</f>
        <v/>
      </c>
      <c r="BH53" s="37">
        <f>BH51+BH52</f>
        <v/>
      </c>
      <c r="BI53" s="37">
        <f>BI51+BI52</f>
        <v/>
      </c>
      <c r="BJ53" s="37">
        <f>BJ51+BJ52</f>
        <v/>
      </c>
      <c r="BK53" s="37">
        <f>BK51+BK52</f>
        <v/>
      </c>
      <c r="BL53" s="37">
        <f>BL51+BL52</f>
        <v/>
      </c>
      <c r="BM53" s="37">
        <f>BM51+BM52</f>
        <v/>
      </c>
      <c r="BN53" s="37">
        <f>BN51+BN52</f>
        <v/>
      </c>
      <c r="BO53" s="37">
        <f>BO51+BO52</f>
        <v/>
      </c>
      <c r="BP53" s="37">
        <f>BP51+BP52</f>
        <v/>
      </c>
      <c r="BQ53" s="37">
        <f>BQ51+BQ52</f>
        <v/>
      </c>
      <c r="BR53" s="37">
        <f>BR51+BR52</f>
        <v/>
      </c>
      <c r="BS53" s="37">
        <f>BS51+BS52</f>
        <v/>
      </c>
      <c r="BT53" s="37">
        <f>BT51+BT52</f>
        <v/>
      </c>
      <c r="BU53" s="37">
        <f>BU51+BU52</f>
        <v/>
      </c>
      <c r="BV53" s="37">
        <f>BV51+BV52</f>
        <v/>
      </c>
      <c r="BW53" s="37">
        <f>BW51+BW52</f>
        <v/>
      </c>
      <c r="BX53" s="37">
        <f>BX51+BX52</f>
        <v/>
      </c>
      <c r="BY53" s="37">
        <f>BY51+BY52</f>
        <v/>
      </c>
      <c r="BZ53" s="37">
        <f>BZ51+BZ52</f>
        <v/>
      </c>
      <c r="CA53" s="37">
        <f>CA51+CA52</f>
        <v/>
      </c>
      <c r="CB53" s="37">
        <f>CB51+CB52</f>
        <v/>
      </c>
      <c r="CC53" s="37">
        <f>CC51+CC52</f>
        <v/>
      </c>
      <c r="CD53" s="37">
        <f>CD51+CD52</f>
        <v/>
      </c>
      <c r="CE53" s="37">
        <f>CE51+CE52</f>
        <v/>
      </c>
      <c r="CF53" s="37">
        <f>CF51+CF52</f>
        <v/>
      </c>
      <c r="CG53" s="37">
        <f>CG51+CG52</f>
        <v/>
      </c>
      <c r="CH53" s="37">
        <f>CH51+CH52</f>
        <v/>
      </c>
      <c r="CI53" s="37">
        <f>CI51+CI52</f>
        <v/>
      </c>
      <c r="CJ53" s="37">
        <f>CJ51+CJ52</f>
        <v/>
      </c>
      <c r="CK53" s="37">
        <f>CK51+CK52</f>
        <v/>
      </c>
      <c r="CL53" s="37">
        <f>CL51+CL52</f>
        <v/>
      </c>
      <c r="CM53" s="37">
        <f>CM51+CM52</f>
        <v/>
      </c>
      <c r="CN53" s="37">
        <f>CN51+CN52</f>
        <v/>
      </c>
      <c r="CO53" s="37">
        <f>CO51+CO52</f>
        <v/>
      </c>
      <c r="CP53" s="37">
        <f>CP51+CP52</f>
        <v/>
      </c>
      <c r="CQ53" s="37">
        <f>CQ51+CQ52</f>
        <v/>
      </c>
      <c r="CR53" s="37">
        <f>CR51+CR52</f>
        <v/>
      </c>
      <c r="CS53" s="37">
        <f>CS51+CS52</f>
        <v/>
      </c>
      <c r="CT53" s="37">
        <f>CT51+CT52</f>
        <v/>
      </c>
      <c r="CU53" s="37">
        <f>CU51+CU52</f>
        <v/>
      </c>
      <c r="CV53" s="37">
        <f>CV51+CV52</f>
        <v/>
      </c>
      <c r="CW53" s="37">
        <f>CW51+CW52</f>
        <v/>
      </c>
      <c r="CX53" s="37">
        <f>CX51+CX52</f>
        <v/>
      </c>
      <c r="CY53" s="37">
        <f>CY51+CY52</f>
        <v/>
      </c>
      <c r="CZ53" s="37">
        <f>CZ51+CZ52</f>
        <v/>
      </c>
      <c r="DA53" s="37">
        <f>DA51+DA52</f>
        <v/>
      </c>
      <c r="DB53" s="37">
        <f>DB51+DB52</f>
        <v/>
      </c>
      <c r="DC53" s="37">
        <f>DC51+DC52</f>
        <v/>
      </c>
      <c r="DD53" s="37">
        <f>DD51+DD52</f>
        <v/>
      </c>
      <c r="DE53" s="37">
        <f>DE51+DE52</f>
        <v/>
      </c>
      <c r="DF53" s="37">
        <f>DF51+DF52</f>
        <v/>
      </c>
      <c r="DG53" s="37">
        <f>DG51+DG52</f>
        <v/>
      </c>
      <c r="DH53" s="37">
        <f>DH51+DH52</f>
        <v/>
      </c>
      <c r="DI53" s="37">
        <f>DI51+DI52</f>
        <v/>
      </c>
      <c r="DJ53" s="37">
        <f>DJ51+DJ52</f>
        <v/>
      </c>
      <c r="DK53" s="37">
        <f>DK51+DK52</f>
        <v/>
      </c>
      <c r="DL53" s="37">
        <f>DL51+DL52</f>
        <v/>
      </c>
      <c r="DM53" s="37">
        <f>DM51+DM52</f>
        <v/>
      </c>
      <c r="DN53" s="37">
        <f>DN51+DN52</f>
        <v/>
      </c>
      <c r="DO53" s="37">
        <f>DO51+DO52</f>
        <v/>
      </c>
      <c r="DP53" s="37">
        <f>DP51+DP52</f>
        <v/>
      </c>
      <c r="DQ53" s="37">
        <f>DQ51+DQ52</f>
        <v/>
      </c>
      <c r="DR53" s="37">
        <f>DR51+DR52</f>
        <v/>
      </c>
      <c r="DS53" s="37">
        <f>DS51+DS52</f>
        <v/>
      </c>
    </row>
    <row r="55">
      <c r="A55" s="2" t="inlineStr">
        <is>
          <t>CF_TAX</t>
        </is>
      </c>
      <c r="B55" s="6" t="inlineStr">
        <is>
          <t>Income tax paid (year end)</t>
        </is>
      </c>
      <c r="C55" s="2" t="inlineStr">
        <is>
          <t>RWF</t>
        </is>
      </c>
      <c r="D55" s="25">
        <f>IF(MOD(D$3,12)=0,MAX(0,SUMIF($D$4:$DS$4,D$4,$D$48:$DS$48)-SUMPRODUCT((CapEx!$J$5:$J$34&lt;=D$4)*(CapEx!$J$5:$J$34+CapEx!$K$5:$K$34&gt;D$4)*CapEx!$L$5:$L$34)*(1+Assumptions!$H$10))*Assumptions!$H$8,0)</f>
        <v/>
      </c>
      <c r="E55" s="25">
        <f>IF(MOD(E$3,12)=0,MAX(0,SUMIF($D$4:$DS$4,E$4,$D$48:$DS$48)-SUMPRODUCT((CapEx!$J$5:$J$34&lt;=E$4)*(CapEx!$J$5:$J$34+CapEx!$K$5:$K$34&gt;E$4)*CapEx!$L$5:$L$34)*(1+Assumptions!$H$10))*Assumptions!$H$8,0)</f>
        <v/>
      </c>
      <c r="F55" s="25">
        <f>IF(MOD(F$3,12)=0,MAX(0,SUMIF($D$4:$DS$4,F$4,$D$48:$DS$48)-SUMPRODUCT((CapEx!$J$5:$J$34&lt;=F$4)*(CapEx!$J$5:$J$34+CapEx!$K$5:$K$34&gt;F$4)*CapEx!$L$5:$L$34)*(1+Assumptions!$H$10))*Assumptions!$H$8,0)</f>
        <v/>
      </c>
      <c r="G55" s="25">
        <f>IF(MOD(G$3,12)=0,MAX(0,SUMIF($D$4:$DS$4,G$4,$D$48:$DS$48)-SUMPRODUCT((CapEx!$J$5:$J$34&lt;=G$4)*(CapEx!$J$5:$J$34+CapEx!$K$5:$K$34&gt;G$4)*CapEx!$L$5:$L$34)*(1+Assumptions!$H$10))*Assumptions!$H$8,0)</f>
        <v/>
      </c>
      <c r="H55" s="25">
        <f>IF(MOD(H$3,12)=0,MAX(0,SUMIF($D$4:$DS$4,H$4,$D$48:$DS$48)-SUMPRODUCT((CapEx!$J$5:$J$34&lt;=H$4)*(CapEx!$J$5:$J$34+CapEx!$K$5:$K$34&gt;H$4)*CapEx!$L$5:$L$34)*(1+Assumptions!$H$10))*Assumptions!$H$8,0)</f>
        <v/>
      </c>
      <c r="I55" s="25">
        <f>IF(MOD(I$3,12)=0,MAX(0,SUMIF($D$4:$DS$4,I$4,$D$48:$DS$48)-SUMPRODUCT((CapEx!$J$5:$J$34&lt;=I$4)*(CapEx!$J$5:$J$34+CapEx!$K$5:$K$34&gt;I$4)*CapEx!$L$5:$L$34)*(1+Assumptions!$H$10))*Assumptions!$H$8,0)</f>
        <v/>
      </c>
      <c r="J55" s="25">
        <f>IF(MOD(J$3,12)=0,MAX(0,SUMIF($D$4:$DS$4,J$4,$D$48:$DS$48)-SUMPRODUCT((CapEx!$J$5:$J$34&lt;=J$4)*(CapEx!$J$5:$J$34+CapEx!$K$5:$K$34&gt;J$4)*CapEx!$L$5:$L$34)*(1+Assumptions!$H$10))*Assumptions!$H$8,0)</f>
        <v/>
      </c>
      <c r="K55" s="25">
        <f>IF(MOD(K$3,12)=0,MAX(0,SUMIF($D$4:$DS$4,K$4,$D$48:$DS$48)-SUMPRODUCT((CapEx!$J$5:$J$34&lt;=K$4)*(CapEx!$J$5:$J$34+CapEx!$K$5:$K$34&gt;K$4)*CapEx!$L$5:$L$34)*(1+Assumptions!$H$10))*Assumptions!$H$8,0)</f>
        <v/>
      </c>
      <c r="L55" s="25">
        <f>IF(MOD(L$3,12)=0,MAX(0,SUMIF($D$4:$DS$4,L$4,$D$48:$DS$48)-SUMPRODUCT((CapEx!$J$5:$J$34&lt;=L$4)*(CapEx!$J$5:$J$34+CapEx!$K$5:$K$34&gt;L$4)*CapEx!$L$5:$L$34)*(1+Assumptions!$H$10))*Assumptions!$H$8,0)</f>
        <v/>
      </c>
      <c r="M55" s="25">
        <f>IF(MOD(M$3,12)=0,MAX(0,SUMIF($D$4:$DS$4,M$4,$D$48:$DS$48)-SUMPRODUCT((CapEx!$J$5:$J$34&lt;=M$4)*(CapEx!$J$5:$J$34+CapEx!$K$5:$K$34&gt;M$4)*CapEx!$L$5:$L$34)*(1+Assumptions!$H$10))*Assumptions!$H$8,0)</f>
        <v/>
      </c>
      <c r="N55" s="25">
        <f>IF(MOD(N$3,12)=0,MAX(0,SUMIF($D$4:$DS$4,N$4,$D$48:$DS$48)-SUMPRODUCT((CapEx!$J$5:$J$34&lt;=N$4)*(CapEx!$J$5:$J$34+CapEx!$K$5:$K$34&gt;N$4)*CapEx!$L$5:$L$34)*(1+Assumptions!$H$10))*Assumptions!$H$8,0)</f>
        <v/>
      </c>
      <c r="O55" s="25">
        <f>IF(MOD(O$3,12)=0,MAX(0,SUMIF($D$4:$DS$4,O$4,$D$48:$DS$48)-SUMPRODUCT((CapEx!$J$5:$J$34&lt;=O$4)*(CapEx!$J$5:$J$34+CapEx!$K$5:$K$34&gt;O$4)*CapEx!$L$5:$L$34)*(1+Assumptions!$H$10))*Assumptions!$H$8,0)</f>
        <v/>
      </c>
      <c r="P55" s="25">
        <f>IF(MOD(P$3,12)=0,MAX(0,SUMIF($D$4:$DS$4,P$4,$D$48:$DS$48)-SUMPRODUCT((CapEx!$J$5:$J$34&lt;=P$4)*(CapEx!$J$5:$J$34+CapEx!$K$5:$K$34&gt;P$4)*CapEx!$L$5:$L$34)*(1+Assumptions!$H$10))*Assumptions!$H$8,0)</f>
        <v/>
      </c>
      <c r="Q55" s="25">
        <f>IF(MOD(Q$3,12)=0,MAX(0,SUMIF($D$4:$DS$4,Q$4,$D$48:$DS$48)-SUMPRODUCT((CapEx!$J$5:$J$34&lt;=Q$4)*(CapEx!$J$5:$J$34+CapEx!$K$5:$K$34&gt;Q$4)*CapEx!$L$5:$L$34)*(1+Assumptions!$H$10))*Assumptions!$H$8,0)</f>
        <v/>
      </c>
      <c r="R55" s="25">
        <f>IF(MOD(R$3,12)=0,MAX(0,SUMIF($D$4:$DS$4,R$4,$D$48:$DS$48)-SUMPRODUCT((CapEx!$J$5:$J$34&lt;=R$4)*(CapEx!$J$5:$J$34+CapEx!$K$5:$K$34&gt;R$4)*CapEx!$L$5:$L$34)*(1+Assumptions!$H$10))*Assumptions!$H$8,0)</f>
        <v/>
      </c>
      <c r="S55" s="25">
        <f>IF(MOD(S$3,12)=0,MAX(0,SUMIF($D$4:$DS$4,S$4,$D$48:$DS$48)-SUMPRODUCT((CapEx!$J$5:$J$34&lt;=S$4)*(CapEx!$J$5:$J$34+CapEx!$K$5:$K$34&gt;S$4)*CapEx!$L$5:$L$34)*(1+Assumptions!$H$10))*Assumptions!$H$8,0)</f>
        <v/>
      </c>
      <c r="T55" s="25">
        <f>IF(MOD(T$3,12)=0,MAX(0,SUMIF($D$4:$DS$4,T$4,$D$48:$DS$48)-SUMPRODUCT((CapEx!$J$5:$J$34&lt;=T$4)*(CapEx!$J$5:$J$34+CapEx!$K$5:$K$34&gt;T$4)*CapEx!$L$5:$L$34)*(1+Assumptions!$H$10))*Assumptions!$H$8,0)</f>
        <v/>
      </c>
      <c r="U55" s="25">
        <f>IF(MOD(U$3,12)=0,MAX(0,SUMIF($D$4:$DS$4,U$4,$D$48:$DS$48)-SUMPRODUCT((CapEx!$J$5:$J$34&lt;=U$4)*(CapEx!$J$5:$J$34+CapEx!$K$5:$K$34&gt;U$4)*CapEx!$L$5:$L$34)*(1+Assumptions!$H$10))*Assumptions!$H$8,0)</f>
        <v/>
      </c>
      <c r="V55" s="25">
        <f>IF(MOD(V$3,12)=0,MAX(0,SUMIF($D$4:$DS$4,V$4,$D$48:$DS$48)-SUMPRODUCT((CapEx!$J$5:$J$34&lt;=V$4)*(CapEx!$J$5:$J$34+CapEx!$K$5:$K$34&gt;V$4)*CapEx!$L$5:$L$34)*(1+Assumptions!$H$10))*Assumptions!$H$8,0)</f>
        <v/>
      </c>
      <c r="W55" s="25">
        <f>IF(MOD(W$3,12)=0,MAX(0,SUMIF($D$4:$DS$4,W$4,$D$48:$DS$48)-SUMPRODUCT((CapEx!$J$5:$J$34&lt;=W$4)*(CapEx!$J$5:$J$34+CapEx!$K$5:$K$34&gt;W$4)*CapEx!$L$5:$L$34)*(1+Assumptions!$H$10))*Assumptions!$H$8,0)</f>
        <v/>
      </c>
      <c r="X55" s="25">
        <f>IF(MOD(X$3,12)=0,MAX(0,SUMIF($D$4:$DS$4,X$4,$D$48:$DS$48)-SUMPRODUCT((CapEx!$J$5:$J$34&lt;=X$4)*(CapEx!$J$5:$J$34+CapEx!$K$5:$K$34&gt;X$4)*CapEx!$L$5:$L$34)*(1+Assumptions!$H$10))*Assumptions!$H$8,0)</f>
        <v/>
      </c>
      <c r="Y55" s="25">
        <f>IF(MOD(Y$3,12)=0,MAX(0,SUMIF($D$4:$DS$4,Y$4,$D$48:$DS$48)-SUMPRODUCT((CapEx!$J$5:$J$34&lt;=Y$4)*(CapEx!$J$5:$J$34+CapEx!$K$5:$K$34&gt;Y$4)*CapEx!$L$5:$L$34)*(1+Assumptions!$H$10))*Assumptions!$H$8,0)</f>
        <v/>
      </c>
      <c r="Z55" s="25">
        <f>IF(MOD(Z$3,12)=0,MAX(0,SUMIF($D$4:$DS$4,Z$4,$D$48:$DS$48)-SUMPRODUCT((CapEx!$J$5:$J$34&lt;=Z$4)*(CapEx!$J$5:$J$34+CapEx!$K$5:$K$34&gt;Z$4)*CapEx!$L$5:$L$34)*(1+Assumptions!$H$10))*Assumptions!$H$8,0)</f>
        <v/>
      </c>
      <c r="AA55" s="25">
        <f>IF(MOD(AA$3,12)=0,MAX(0,SUMIF($D$4:$DS$4,AA$4,$D$48:$DS$48)-SUMPRODUCT((CapEx!$J$5:$J$34&lt;=AA$4)*(CapEx!$J$5:$J$34+CapEx!$K$5:$K$34&gt;AA$4)*CapEx!$L$5:$L$34)*(1+Assumptions!$H$10))*Assumptions!$H$8,0)</f>
        <v/>
      </c>
      <c r="AB55" s="25">
        <f>IF(MOD(AB$3,12)=0,MAX(0,SUMIF($D$4:$DS$4,AB$4,$D$48:$DS$48)-SUMPRODUCT((CapEx!$J$5:$J$34&lt;=AB$4)*(CapEx!$J$5:$J$34+CapEx!$K$5:$K$34&gt;AB$4)*CapEx!$L$5:$L$34)*(1+Assumptions!$H$10))*Assumptions!$H$8,0)</f>
        <v/>
      </c>
      <c r="AC55" s="25">
        <f>IF(MOD(AC$3,12)=0,MAX(0,SUMIF($D$4:$DS$4,AC$4,$D$48:$DS$48)-SUMPRODUCT((CapEx!$J$5:$J$34&lt;=AC$4)*(CapEx!$J$5:$J$34+CapEx!$K$5:$K$34&gt;AC$4)*CapEx!$L$5:$L$34)*(1+Assumptions!$H$10))*Assumptions!$H$8,0)</f>
        <v/>
      </c>
      <c r="AD55" s="25">
        <f>IF(MOD(AD$3,12)=0,MAX(0,SUMIF($D$4:$DS$4,AD$4,$D$48:$DS$48)-SUMPRODUCT((CapEx!$J$5:$J$34&lt;=AD$4)*(CapEx!$J$5:$J$34+CapEx!$K$5:$K$34&gt;AD$4)*CapEx!$L$5:$L$34)*(1+Assumptions!$H$10))*Assumptions!$H$8,0)</f>
        <v/>
      </c>
      <c r="AE55" s="25">
        <f>IF(MOD(AE$3,12)=0,MAX(0,SUMIF($D$4:$DS$4,AE$4,$D$48:$DS$48)-SUMPRODUCT((CapEx!$J$5:$J$34&lt;=AE$4)*(CapEx!$J$5:$J$34+CapEx!$K$5:$K$34&gt;AE$4)*CapEx!$L$5:$L$34)*(1+Assumptions!$H$10))*Assumptions!$H$8,0)</f>
        <v/>
      </c>
      <c r="AF55" s="25">
        <f>IF(MOD(AF$3,12)=0,MAX(0,SUMIF($D$4:$DS$4,AF$4,$D$48:$DS$48)-SUMPRODUCT((CapEx!$J$5:$J$34&lt;=AF$4)*(CapEx!$J$5:$J$34+CapEx!$K$5:$K$34&gt;AF$4)*CapEx!$L$5:$L$34)*(1+Assumptions!$H$10))*Assumptions!$H$8,0)</f>
        <v/>
      </c>
      <c r="AG55" s="25">
        <f>IF(MOD(AG$3,12)=0,MAX(0,SUMIF($D$4:$DS$4,AG$4,$D$48:$DS$48)-SUMPRODUCT((CapEx!$J$5:$J$34&lt;=AG$4)*(CapEx!$J$5:$J$34+CapEx!$K$5:$K$34&gt;AG$4)*CapEx!$L$5:$L$34)*(1+Assumptions!$H$10))*Assumptions!$H$8,0)</f>
        <v/>
      </c>
      <c r="AH55" s="25">
        <f>IF(MOD(AH$3,12)=0,MAX(0,SUMIF($D$4:$DS$4,AH$4,$D$48:$DS$48)-SUMPRODUCT((CapEx!$J$5:$J$34&lt;=AH$4)*(CapEx!$J$5:$J$34+CapEx!$K$5:$K$34&gt;AH$4)*CapEx!$L$5:$L$34)*(1+Assumptions!$H$10))*Assumptions!$H$8,0)</f>
        <v/>
      </c>
      <c r="AI55" s="25">
        <f>IF(MOD(AI$3,12)=0,MAX(0,SUMIF($D$4:$DS$4,AI$4,$D$48:$DS$48)-SUMPRODUCT((CapEx!$J$5:$J$34&lt;=AI$4)*(CapEx!$J$5:$J$34+CapEx!$K$5:$K$34&gt;AI$4)*CapEx!$L$5:$L$34)*(1+Assumptions!$H$10))*Assumptions!$H$8,0)</f>
        <v/>
      </c>
      <c r="AJ55" s="25">
        <f>IF(MOD(AJ$3,12)=0,MAX(0,SUMIF($D$4:$DS$4,AJ$4,$D$48:$DS$48)-SUMPRODUCT((CapEx!$J$5:$J$34&lt;=AJ$4)*(CapEx!$J$5:$J$34+CapEx!$K$5:$K$34&gt;AJ$4)*CapEx!$L$5:$L$34)*(1+Assumptions!$H$10))*Assumptions!$H$8,0)</f>
        <v/>
      </c>
      <c r="AK55" s="25">
        <f>IF(MOD(AK$3,12)=0,MAX(0,SUMIF($D$4:$DS$4,AK$4,$D$48:$DS$48)-SUMPRODUCT((CapEx!$J$5:$J$34&lt;=AK$4)*(CapEx!$J$5:$J$34+CapEx!$K$5:$K$34&gt;AK$4)*CapEx!$L$5:$L$34)*(1+Assumptions!$H$10))*Assumptions!$H$8,0)</f>
        <v/>
      </c>
      <c r="AL55" s="25">
        <f>IF(MOD(AL$3,12)=0,MAX(0,SUMIF($D$4:$DS$4,AL$4,$D$48:$DS$48)-SUMPRODUCT((CapEx!$J$5:$J$34&lt;=AL$4)*(CapEx!$J$5:$J$34+CapEx!$K$5:$K$34&gt;AL$4)*CapEx!$L$5:$L$34)*(1+Assumptions!$H$10))*Assumptions!$H$8,0)</f>
        <v/>
      </c>
      <c r="AM55" s="25">
        <f>IF(MOD(AM$3,12)=0,MAX(0,SUMIF($D$4:$DS$4,AM$4,$D$48:$DS$48)-SUMPRODUCT((CapEx!$J$5:$J$34&lt;=AM$4)*(CapEx!$J$5:$J$34+CapEx!$K$5:$K$34&gt;AM$4)*CapEx!$L$5:$L$34)*(1+Assumptions!$H$10))*Assumptions!$H$8,0)</f>
        <v/>
      </c>
      <c r="AN55" s="25">
        <f>IF(MOD(AN$3,12)=0,MAX(0,SUMIF($D$4:$DS$4,AN$4,$D$48:$DS$48)-SUMPRODUCT((CapEx!$J$5:$J$34&lt;=AN$4)*(CapEx!$J$5:$J$34+CapEx!$K$5:$K$34&gt;AN$4)*CapEx!$L$5:$L$34)*(1+Assumptions!$H$10))*Assumptions!$H$8,0)</f>
        <v/>
      </c>
      <c r="AO55" s="25">
        <f>IF(MOD(AO$3,12)=0,MAX(0,SUMIF($D$4:$DS$4,AO$4,$D$48:$DS$48)-SUMPRODUCT((CapEx!$J$5:$J$34&lt;=AO$4)*(CapEx!$J$5:$J$34+CapEx!$K$5:$K$34&gt;AO$4)*CapEx!$L$5:$L$34)*(1+Assumptions!$H$10))*Assumptions!$H$8,0)</f>
        <v/>
      </c>
      <c r="AP55" s="25">
        <f>IF(MOD(AP$3,12)=0,MAX(0,SUMIF($D$4:$DS$4,AP$4,$D$48:$DS$48)-SUMPRODUCT((CapEx!$J$5:$J$34&lt;=AP$4)*(CapEx!$J$5:$J$34+CapEx!$K$5:$K$34&gt;AP$4)*CapEx!$L$5:$L$34)*(1+Assumptions!$H$10))*Assumptions!$H$8,0)</f>
        <v/>
      </c>
      <c r="AQ55" s="25">
        <f>IF(MOD(AQ$3,12)=0,MAX(0,SUMIF($D$4:$DS$4,AQ$4,$D$48:$DS$48)-SUMPRODUCT((CapEx!$J$5:$J$34&lt;=AQ$4)*(CapEx!$J$5:$J$34+CapEx!$K$5:$K$34&gt;AQ$4)*CapEx!$L$5:$L$34)*(1+Assumptions!$H$10))*Assumptions!$H$8,0)</f>
        <v/>
      </c>
      <c r="AR55" s="25">
        <f>IF(MOD(AR$3,12)=0,MAX(0,SUMIF($D$4:$DS$4,AR$4,$D$48:$DS$48)-SUMPRODUCT((CapEx!$J$5:$J$34&lt;=AR$4)*(CapEx!$J$5:$J$34+CapEx!$K$5:$K$34&gt;AR$4)*CapEx!$L$5:$L$34)*(1+Assumptions!$H$10))*Assumptions!$H$8,0)</f>
        <v/>
      </c>
      <c r="AS55" s="25">
        <f>IF(MOD(AS$3,12)=0,MAX(0,SUMIF($D$4:$DS$4,AS$4,$D$48:$DS$48)-SUMPRODUCT((CapEx!$J$5:$J$34&lt;=AS$4)*(CapEx!$J$5:$J$34+CapEx!$K$5:$K$34&gt;AS$4)*CapEx!$L$5:$L$34)*(1+Assumptions!$H$10))*Assumptions!$H$8,0)</f>
        <v/>
      </c>
      <c r="AT55" s="25">
        <f>IF(MOD(AT$3,12)=0,MAX(0,SUMIF($D$4:$DS$4,AT$4,$D$48:$DS$48)-SUMPRODUCT((CapEx!$J$5:$J$34&lt;=AT$4)*(CapEx!$J$5:$J$34+CapEx!$K$5:$K$34&gt;AT$4)*CapEx!$L$5:$L$34)*(1+Assumptions!$H$10))*Assumptions!$H$8,0)</f>
        <v/>
      </c>
      <c r="AU55" s="25">
        <f>IF(MOD(AU$3,12)=0,MAX(0,SUMIF($D$4:$DS$4,AU$4,$D$48:$DS$48)-SUMPRODUCT((CapEx!$J$5:$J$34&lt;=AU$4)*(CapEx!$J$5:$J$34+CapEx!$K$5:$K$34&gt;AU$4)*CapEx!$L$5:$L$34)*(1+Assumptions!$H$10))*Assumptions!$H$8,0)</f>
        <v/>
      </c>
      <c r="AV55" s="25">
        <f>IF(MOD(AV$3,12)=0,MAX(0,SUMIF($D$4:$DS$4,AV$4,$D$48:$DS$48)-SUMPRODUCT((CapEx!$J$5:$J$34&lt;=AV$4)*(CapEx!$J$5:$J$34+CapEx!$K$5:$K$34&gt;AV$4)*CapEx!$L$5:$L$34)*(1+Assumptions!$H$10))*Assumptions!$H$8,0)</f>
        <v/>
      </c>
      <c r="AW55" s="25">
        <f>IF(MOD(AW$3,12)=0,MAX(0,SUMIF($D$4:$DS$4,AW$4,$D$48:$DS$48)-SUMPRODUCT((CapEx!$J$5:$J$34&lt;=AW$4)*(CapEx!$J$5:$J$34+CapEx!$K$5:$K$34&gt;AW$4)*CapEx!$L$5:$L$34)*(1+Assumptions!$H$10))*Assumptions!$H$8,0)</f>
        <v/>
      </c>
      <c r="AX55" s="25">
        <f>IF(MOD(AX$3,12)=0,MAX(0,SUMIF($D$4:$DS$4,AX$4,$D$48:$DS$48)-SUMPRODUCT((CapEx!$J$5:$J$34&lt;=AX$4)*(CapEx!$J$5:$J$34+CapEx!$K$5:$K$34&gt;AX$4)*CapEx!$L$5:$L$34)*(1+Assumptions!$H$10))*Assumptions!$H$8,0)</f>
        <v/>
      </c>
      <c r="AY55" s="25">
        <f>IF(MOD(AY$3,12)=0,MAX(0,SUMIF($D$4:$DS$4,AY$4,$D$48:$DS$48)-SUMPRODUCT((CapEx!$J$5:$J$34&lt;=AY$4)*(CapEx!$J$5:$J$34+CapEx!$K$5:$K$34&gt;AY$4)*CapEx!$L$5:$L$34)*(1+Assumptions!$H$10))*Assumptions!$H$8,0)</f>
        <v/>
      </c>
      <c r="AZ55" s="25">
        <f>IF(MOD(AZ$3,12)=0,MAX(0,SUMIF($D$4:$DS$4,AZ$4,$D$48:$DS$48)-SUMPRODUCT((CapEx!$J$5:$J$34&lt;=AZ$4)*(CapEx!$J$5:$J$34+CapEx!$K$5:$K$34&gt;AZ$4)*CapEx!$L$5:$L$34)*(1+Assumptions!$H$10))*Assumptions!$H$8,0)</f>
        <v/>
      </c>
      <c r="BA55" s="25">
        <f>IF(MOD(BA$3,12)=0,MAX(0,SUMIF($D$4:$DS$4,BA$4,$D$48:$DS$48)-SUMPRODUCT((CapEx!$J$5:$J$34&lt;=BA$4)*(CapEx!$J$5:$J$34+CapEx!$K$5:$K$34&gt;BA$4)*CapEx!$L$5:$L$34)*(1+Assumptions!$H$10))*Assumptions!$H$8,0)</f>
        <v/>
      </c>
      <c r="BB55" s="25">
        <f>IF(MOD(BB$3,12)=0,MAX(0,SUMIF($D$4:$DS$4,BB$4,$D$48:$DS$48)-SUMPRODUCT((CapEx!$J$5:$J$34&lt;=BB$4)*(CapEx!$J$5:$J$34+CapEx!$K$5:$K$34&gt;BB$4)*CapEx!$L$5:$L$34)*(1+Assumptions!$H$10))*Assumptions!$H$8,0)</f>
        <v/>
      </c>
      <c r="BC55" s="25">
        <f>IF(MOD(BC$3,12)=0,MAX(0,SUMIF($D$4:$DS$4,BC$4,$D$48:$DS$48)-SUMPRODUCT((CapEx!$J$5:$J$34&lt;=BC$4)*(CapEx!$J$5:$J$34+CapEx!$K$5:$K$34&gt;BC$4)*CapEx!$L$5:$L$34)*(1+Assumptions!$H$10))*Assumptions!$H$8,0)</f>
        <v/>
      </c>
      <c r="BD55" s="25">
        <f>IF(MOD(BD$3,12)=0,MAX(0,SUMIF($D$4:$DS$4,BD$4,$D$48:$DS$48)-SUMPRODUCT((CapEx!$J$5:$J$34&lt;=BD$4)*(CapEx!$J$5:$J$34+CapEx!$K$5:$K$34&gt;BD$4)*CapEx!$L$5:$L$34)*(1+Assumptions!$H$10))*Assumptions!$H$8,0)</f>
        <v/>
      </c>
      <c r="BE55" s="25">
        <f>IF(MOD(BE$3,12)=0,MAX(0,SUMIF($D$4:$DS$4,BE$4,$D$48:$DS$48)-SUMPRODUCT((CapEx!$J$5:$J$34&lt;=BE$4)*(CapEx!$J$5:$J$34+CapEx!$K$5:$K$34&gt;BE$4)*CapEx!$L$5:$L$34)*(1+Assumptions!$H$10))*Assumptions!$H$8,0)</f>
        <v/>
      </c>
      <c r="BF55" s="25">
        <f>IF(MOD(BF$3,12)=0,MAX(0,SUMIF($D$4:$DS$4,BF$4,$D$48:$DS$48)-SUMPRODUCT((CapEx!$J$5:$J$34&lt;=BF$4)*(CapEx!$J$5:$J$34+CapEx!$K$5:$K$34&gt;BF$4)*CapEx!$L$5:$L$34)*(1+Assumptions!$H$10))*Assumptions!$H$8,0)</f>
        <v/>
      </c>
      <c r="BG55" s="25">
        <f>IF(MOD(BG$3,12)=0,MAX(0,SUMIF($D$4:$DS$4,BG$4,$D$48:$DS$48)-SUMPRODUCT((CapEx!$J$5:$J$34&lt;=BG$4)*(CapEx!$J$5:$J$34+CapEx!$K$5:$K$34&gt;BG$4)*CapEx!$L$5:$L$34)*(1+Assumptions!$H$10))*Assumptions!$H$8,0)</f>
        <v/>
      </c>
      <c r="BH55" s="25">
        <f>IF(MOD(BH$3,12)=0,MAX(0,SUMIF($D$4:$DS$4,BH$4,$D$48:$DS$48)-SUMPRODUCT((CapEx!$J$5:$J$34&lt;=BH$4)*(CapEx!$J$5:$J$34+CapEx!$K$5:$K$34&gt;BH$4)*CapEx!$L$5:$L$34)*(1+Assumptions!$H$10))*Assumptions!$H$8,0)</f>
        <v/>
      </c>
      <c r="BI55" s="25">
        <f>IF(MOD(BI$3,12)=0,MAX(0,SUMIF($D$4:$DS$4,BI$4,$D$48:$DS$48)-SUMPRODUCT((CapEx!$J$5:$J$34&lt;=BI$4)*(CapEx!$J$5:$J$34+CapEx!$K$5:$K$34&gt;BI$4)*CapEx!$L$5:$L$34)*(1+Assumptions!$H$10))*Assumptions!$H$8,0)</f>
        <v/>
      </c>
      <c r="BJ55" s="25">
        <f>IF(MOD(BJ$3,12)=0,MAX(0,SUMIF($D$4:$DS$4,BJ$4,$D$48:$DS$48)-SUMPRODUCT((CapEx!$J$5:$J$34&lt;=BJ$4)*(CapEx!$J$5:$J$34+CapEx!$K$5:$K$34&gt;BJ$4)*CapEx!$L$5:$L$34)*(1+Assumptions!$H$10))*Assumptions!$H$8,0)</f>
        <v/>
      </c>
      <c r="BK55" s="25">
        <f>IF(MOD(BK$3,12)=0,MAX(0,SUMIF($D$4:$DS$4,BK$4,$D$48:$DS$48)-SUMPRODUCT((CapEx!$J$5:$J$34&lt;=BK$4)*(CapEx!$J$5:$J$34+CapEx!$K$5:$K$34&gt;BK$4)*CapEx!$L$5:$L$34)*(1+Assumptions!$H$10))*Assumptions!$H$8,0)</f>
        <v/>
      </c>
      <c r="BL55" s="25">
        <f>IF(MOD(BL$3,12)=0,MAX(0,SUMIF($D$4:$DS$4,BL$4,$D$48:$DS$48)-SUMPRODUCT((CapEx!$J$5:$J$34&lt;=BL$4)*(CapEx!$J$5:$J$34+CapEx!$K$5:$K$34&gt;BL$4)*CapEx!$L$5:$L$34)*(1+Assumptions!$H$10))*Assumptions!$H$8,0)</f>
        <v/>
      </c>
      <c r="BM55" s="25">
        <f>IF(MOD(BM$3,12)=0,MAX(0,SUMIF($D$4:$DS$4,BM$4,$D$48:$DS$48)-SUMPRODUCT((CapEx!$J$5:$J$34&lt;=BM$4)*(CapEx!$J$5:$J$34+CapEx!$K$5:$K$34&gt;BM$4)*CapEx!$L$5:$L$34)*(1+Assumptions!$H$10))*Assumptions!$H$8,0)</f>
        <v/>
      </c>
      <c r="BN55" s="25">
        <f>IF(MOD(BN$3,12)=0,MAX(0,SUMIF($D$4:$DS$4,BN$4,$D$48:$DS$48)-SUMPRODUCT((CapEx!$J$5:$J$34&lt;=BN$4)*(CapEx!$J$5:$J$34+CapEx!$K$5:$K$34&gt;BN$4)*CapEx!$L$5:$L$34)*(1+Assumptions!$H$10))*Assumptions!$H$8,0)</f>
        <v/>
      </c>
      <c r="BO55" s="25">
        <f>IF(MOD(BO$3,12)=0,MAX(0,SUMIF($D$4:$DS$4,BO$4,$D$48:$DS$48)-SUMPRODUCT((CapEx!$J$5:$J$34&lt;=BO$4)*(CapEx!$J$5:$J$34+CapEx!$K$5:$K$34&gt;BO$4)*CapEx!$L$5:$L$34)*(1+Assumptions!$H$10))*Assumptions!$H$8,0)</f>
        <v/>
      </c>
      <c r="BP55" s="25">
        <f>IF(MOD(BP$3,12)=0,MAX(0,SUMIF($D$4:$DS$4,BP$4,$D$48:$DS$48)-SUMPRODUCT((CapEx!$J$5:$J$34&lt;=BP$4)*(CapEx!$J$5:$J$34+CapEx!$K$5:$K$34&gt;BP$4)*CapEx!$L$5:$L$34)*(1+Assumptions!$H$10))*Assumptions!$H$8,0)</f>
        <v/>
      </c>
      <c r="BQ55" s="25">
        <f>IF(MOD(BQ$3,12)=0,MAX(0,SUMIF($D$4:$DS$4,BQ$4,$D$48:$DS$48)-SUMPRODUCT((CapEx!$J$5:$J$34&lt;=BQ$4)*(CapEx!$J$5:$J$34+CapEx!$K$5:$K$34&gt;BQ$4)*CapEx!$L$5:$L$34)*(1+Assumptions!$H$10))*Assumptions!$H$8,0)</f>
        <v/>
      </c>
      <c r="BR55" s="25">
        <f>IF(MOD(BR$3,12)=0,MAX(0,SUMIF($D$4:$DS$4,BR$4,$D$48:$DS$48)-SUMPRODUCT((CapEx!$J$5:$J$34&lt;=BR$4)*(CapEx!$J$5:$J$34+CapEx!$K$5:$K$34&gt;BR$4)*CapEx!$L$5:$L$34)*(1+Assumptions!$H$10))*Assumptions!$H$8,0)</f>
        <v/>
      </c>
      <c r="BS55" s="25">
        <f>IF(MOD(BS$3,12)=0,MAX(0,SUMIF($D$4:$DS$4,BS$4,$D$48:$DS$48)-SUMPRODUCT((CapEx!$J$5:$J$34&lt;=BS$4)*(CapEx!$J$5:$J$34+CapEx!$K$5:$K$34&gt;BS$4)*CapEx!$L$5:$L$34)*(1+Assumptions!$H$10))*Assumptions!$H$8,0)</f>
        <v/>
      </c>
      <c r="BT55" s="25">
        <f>IF(MOD(BT$3,12)=0,MAX(0,SUMIF($D$4:$DS$4,BT$4,$D$48:$DS$48)-SUMPRODUCT((CapEx!$J$5:$J$34&lt;=BT$4)*(CapEx!$J$5:$J$34+CapEx!$K$5:$K$34&gt;BT$4)*CapEx!$L$5:$L$34)*(1+Assumptions!$H$10))*Assumptions!$H$8,0)</f>
        <v/>
      </c>
      <c r="BU55" s="25">
        <f>IF(MOD(BU$3,12)=0,MAX(0,SUMIF($D$4:$DS$4,BU$4,$D$48:$DS$48)-SUMPRODUCT((CapEx!$J$5:$J$34&lt;=BU$4)*(CapEx!$J$5:$J$34+CapEx!$K$5:$K$34&gt;BU$4)*CapEx!$L$5:$L$34)*(1+Assumptions!$H$10))*Assumptions!$H$8,0)</f>
        <v/>
      </c>
      <c r="BV55" s="25">
        <f>IF(MOD(BV$3,12)=0,MAX(0,SUMIF($D$4:$DS$4,BV$4,$D$48:$DS$48)-SUMPRODUCT((CapEx!$J$5:$J$34&lt;=BV$4)*(CapEx!$J$5:$J$34+CapEx!$K$5:$K$34&gt;BV$4)*CapEx!$L$5:$L$34)*(1+Assumptions!$H$10))*Assumptions!$H$8,0)</f>
        <v/>
      </c>
      <c r="BW55" s="25">
        <f>IF(MOD(BW$3,12)=0,MAX(0,SUMIF($D$4:$DS$4,BW$4,$D$48:$DS$48)-SUMPRODUCT((CapEx!$J$5:$J$34&lt;=BW$4)*(CapEx!$J$5:$J$34+CapEx!$K$5:$K$34&gt;BW$4)*CapEx!$L$5:$L$34)*(1+Assumptions!$H$10))*Assumptions!$H$8,0)</f>
        <v/>
      </c>
      <c r="BX55" s="25">
        <f>IF(MOD(BX$3,12)=0,MAX(0,SUMIF($D$4:$DS$4,BX$4,$D$48:$DS$48)-SUMPRODUCT((CapEx!$J$5:$J$34&lt;=BX$4)*(CapEx!$J$5:$J$34+CapEx!$K$5:$K$34&gt;BX$4)*CapEx!$L$5:$L$34)*(1+Assumptions!$H$10))*Assumptions!$H$8,0)</f>
        <v/>
      </c>
      <c r="BY55" s="25">
        <f>IF(MOD(BY$3,12)=0,MAX(0,SUMIF($D$4:$DS$4,BY$4,$D$48:$DS$48)-SUMPRODUCT((CapEx!$J$5:$J$34&lt;=BY$4)*(CapEx!$J$5:$J$34+CapEx!$K$5:$K$34&gt;BY$4)*CapEx!$L$5:$L$34)*(1+Assumptions!$H$10))*Assumptions!$H$8,0)</f>
        <v/>
      </c>
      <c r="BZ55" s="25">
        <f>IF(MOD(BZ$3,12)=0,MAX(0,SUMIF($D$4:$DS$4,BZ$4,$D$48:$DS$48)-SUMPRODUCT((CapEx!$J$5:$J$34&lt;=BZ$4)*(CapEx!$J$5:$J$34+CapEx!$K$5:$K$34&gt;BZ$4)*CapEx!$L$5:$L$34)*(1+Assumptions!$H$10))*Assumptions!$H$8,0)</f>
        <v/>
      </c>
      <c r="CA55" s="25">
        <f>IF(MOD(CA$3,12)=0,MAX(0,SUMIF($D$4:$DS$4,CA$4,$D$48:$DS$48)-SUMPRODUCT((CapEx!$J$5:$J$34&lt;=CA$4)*(CapEx!$J$5:$J$34+CapEx!$K$5:$K$34&gt;CA$4)*CapEx!$L$5:$L$34)*(1+Assumptions!$H$10))*Assumptions!$H$8,0)</f>
        <v/>
      </c>
      <c r="CB55" s="25">
        <f>IF(MOD(CB$3,12)=0,MAX(0,SUMIF($D$4:$DS$4,CB$4,$D$48:$DS$48)-SUMPRODUCT((CapEx!$J$5:$J$34&lt;=CB$4)*(CapEx!$J$5:$J$34+CapEx!$K$5:$K$34&gt;CB$4)*CapEx!$L$5:$L$34)*(1+Assumptions!$H$10))*Assumptions!$H$8,0)</f>
        <v/>
      </c>
      <c r="CC55" s="25">
        <f>IF(MOD(CC$3,12)=0,MAX(0,SUMIF($D$4:$DS$4,CC$4,$D$48:$DS$48)-SUMPRODUCT((CapEx!$J$5:$J$34&lt;=CC$4)*(CapEx!$J$5:$J$34+CapEx!$K$5:$K$34&gt;CC$4)*CapEx!$L$5:$L$34)*(1+Assumptions!$H$10))*Assumptions!$H$8,0)</f>
        <v/>
      </c>
      <c r="CD55" s="25">
        <f>IF(MOD(CD$3,12)=0,MAX(0,SUMIF($D$4:$DS$4,CD$4,$D$48:$DS$48)-SUMPRODUCT((CapEx!$J$5:$J$34&lt;=CD$4)*(CapEx!$J$5:$J$34+CapEx!$K$5:$K$34&gt;CD$4)*CapEx!$L$5:$L$34)*(1+Assumptions!$H$10))*Assumptions!$H$8,0)</f>
        <v/>
      </c>
      <c r="CE55" s="25">
        <f>IF(MOD(CE$3,12)=0,MAX(0,SUMIF($D$4:$DS$4,CE$4,$D$48:$DS$48)-SUMPRODUCT((CapEx!$J$5:$J$34&lt;=CE$4)*(CapEx!$J$5:$J$34+CapEx!$K$5:$K$34&gt;CE$4)*CapEx!$L$5:$L$34)*(1+Assumptions!$H$10))*Assumptions!$H$8,0)</f>
        <v/>
      </c>
      <c r="CF55" s="25">
        <f>IF(MOD(CF$3,12)=0,MAX(0,SUMIF($D$4:$DS$4,CF$4,$D$48:$DS$48)-SUMPRODUCT((CapEx!$J$5:$J$34&lt;=CF$4)*(CapEx!$J$5:$J$34+CapEx!$K$5:$K$34&gt;CF$4)*CapEx!$L$5:$L$34)*(1+Assumptions!$H$10))*Assumptions!$H$8,0)</f>
        <v/>
      </c>
      <c r="CG55" s="25">
        <f>IF(MOD(CG$3,12)=0,MAX(0,SUMIF($D$4:$DS$4,CG$4,$D$48:$DS$48)-SUMPRODUCT((CapEx!$J$5:$J$34&lt;=CG$4)*(CapEx!$J$5:$J$34+CapEx!$K$5:$K$34&gt;CG$4)*CapEx!$L$5:$L$34)*(1+Assumptions!$H$10))*Assumptions!$H$8,0)</f>
        <v/>
      </c>
      <c r="CH55" s="25">
        <f>IF(MOD(CH$3,12)=0,MAX(0,SUMIF($D$4:$DS$4,CH$4,$D$48:$DS$48)-SUMPRODUCT((CapEx!$J$5:$J$34&lt;=CH$4)*(CapEx!$J$5:$J$34+CapEx!$K$5:$K$34&gt;CH$4)*CapEx!$L$5:$L$34)*(1+Assumptions!$H$10))*Assumptions!$H$8,0)</f>
        <v/>
      </c>
      <c r="CI55" s="25">
        <f>IF(MOD(CI$3,12)=0,MAX(0,SUMIF($D$4:$DS$4,CI$4,$D$48:$DS$48)-SUMPRODUCT((CapEx!$J$5:$J$34&lt;=CI$4)*(CapEx!$J$5:$J$34+CapEx!$K$5:$K$34&gt;CI$4)*CapEx!$L$5:$L$34)*(1+Assumptions!$H$10))*Assumptions!$H$8,0)</f>
        <v/>
      </c>
      <c r="CJ55" s="25">
        <f>IF(MOD(CJ$3,12)=0,MAX(0,SUMIF($D$4:$DS$4,CJ$4,$D$48:$DS$48)-SUMPRODUCT((CapEx!$J$5:$J$34&lt;=CJ$4)*(CapEx!$J$5:$J$34+CapEx!$K$5:$K$34&gt;CJ$4)*CapEx!$L$5:$L$34)*(1+Assumptions!$H$10))*Assumptions!$H$8,0)</f>
        <v/>
      </c>
      <c r="CK55" s="25">
        <f>IF(MOD(CK$3,12)=0,MAX(0,SUMIF($D$4:$DS$4,CK$4,$D$48:$DS$48)-SUMPRODUCT((CapEx!$J$5:$J$34&lt;=CK$4)*(CapEx!$J$5:$J$34+CapEx!$K$5:$K$34&gt;CK$4)*CapEx!$L$5:$L$34)*(1+Assumptions!$H$10))*Assumptions!$H$8,0)</f>
        <v/>
      </c>
      <c r="CL55" s="25">
        <f>IF(MOD(CL$3,12)=0,MAX(0,SUMIF($D$4:$DS$4,CL$4,$D$48:$DS$48)-SUMPRODUCT((CapEx!$J$5:$J$34&lt;=CL$4)*(CapEx!$J$5:$J$34+CapEx!$K$5:$K$34&gt;CL$4)*CapEx!$L$5:$L$34)*(1+Assumptions!$H$10))*Assumptions!$H$8,0)</f>
        <v/>
      </c>
      <c r="CM55" s="25">
        <f>IF(MOD(CM$3,12)=0,MAX(0,SUMIF($D$4:$DS$4,CM$4,$D$48:$DS$48)-SUMPRODUCT((CapEx!$J$5:$J$34&lt;=CM$4)*(CapEx!$J$5:$J$34+CapEx!$K$5:$K$34&gt;CM$4)*CapEx!$L$5:$L$34)*(1+Assumptions!$H$10))*Assumptions!$H$8,0)</f>
        <v/>
      </c>
      <c r="CN55" s="25">
        <f>IF(MOD(CN$3,12)=0,MAX(0,SUMIF($D$4:$DS$4,CN$4,$D$48:$DS$48)-SUMPRODUCT((CapEx!$J$5:$J$34&lt;=CN$4)*(CapEx!$J$5:$J$34+CapEx!$K$5:$K$34&gt;CN$4)*CapEx!$L$5:$L$34)*(1+Assumptions!$H$10))*Assumptions!$H$8,0)</f>
        <v/>
      </c>
      <c r="CO55" s="25">
        <f>IF(MOD(CO$3,12)=0,MAX(0,SUMIF($D$4:$DS$4,CO$4,$D$48:$DS$48)-SUMPRODUCT((CapEx!$J$5:$J$34&lt;=CO$4)*(CapEx!$J$5:$J$34+CapEx!$K$5:$K$34&gt;CO$4)*CapEx!$L$5:$L$34)*(1+Assumptions!$H$10))*Assumptions!$H$8,0)</f>
        <v/>
      </c>
      <c r="CP55" s="25">
        <f>IF(MOD(CP$3,12)=0,MAX(0,SUMIF($D$4:$DS$4,CP$4,$D$48:$DS$48)-SUMPRODUCT((CapEx!$J$5:$J$34&lt;=CP$4)*(CapEx!$J$5:$J$34+CapEx!$K$5:$K$34&gt;CP$4)*CapEx!$L$5:$L$34)*(1+Assumptions!$H$10))*Assumptions!$H$8,0)</f>
        <v/>
      </c>
      <c r="CQ55" s="25">
        <f>IF(MOD(CQ$3,12)=0,MAX(0,SUMIF($D$4:$DS$4,CQ$4,$D$48:$DS$48)-SUMPRODUCT((CapEx!$J$5:$J$34&lt;=CQ$4)*(CapEx!$J$5:$J$34+CapEx!$K$5:$K$34&gt;CQ$4)*CapEx!$L$5:$L$34)*(1+Assumptions!$H$10))*Assumptions!$H$8,0)</f>
        <v/>
      </c>
      <c r="CR55" s="25">
        <f>IF(MOD(CR$3,12)=0,MAX(0,SUMIF($D$4:$DS$4,CR$4,$D$48:$DS$48)-SUMPRODUCT((CapEx!$J$5:$J$34&lt;=CR$4)*(CapEx!$J$5:$J$34+CapEx!$K$5:$K$34&gt;CR$4)*CapEx!$L$5:$L$34)*(1+Assumptions!$H$10))*Assumptions!$H$8,0)</f>
        <v/>
      </c>
      <c r="CS55" s="25">
        <f>IF(MOD(CS$3,12)=0,MAX(0,SUMIF($D$4:$DS$4,CS$4,$D$48:$DS$48)-SUMPRODUCT((CapEx!$J$5:$J$34&lt;=CS$4)*(CapEx!$J$5:$J$34+CapEx!$K$5:$K$34&gt;CS$4)*CapEx!$L$5:$L$34)*(1+Assumptions!$H$10))*Assumptions!$H$8,0)</f>
        <v/>
      </c>
      <c r="CT55" s="25">
        <f>IF(MOD(CT$3,12)=0,MAX(0,SUMIF($D$4:$DS$4,CT$4,$D$48:$DS$48)-SUMPRODUCT((CapEx!$J$5:$J$34&lt;=CT$4)*(CapEx!$J$5:$J$34+CapEx!$K$5:$K$34&gt;CT$4)*CapEx!$L$5:$L$34)*(1+Assumptions!$H$10))*Assumptions!$H$8,0)</f>
        <v/>
      </c>
      <c r="CU55" s="25">
        <f>IF(MOD(CU$3,12)=0,MAX(0,SUMIF($D$4:$DS$4,CU$4,$D$48:$DS$48)-SUMPRODUCT((CapEx!$J$5:$J$34&lt;=CU$4)*(CapEx!$J$5:$J$34+CapEx!$K$5:$K$34&gt;CU$4)*CapEx!$L$5:$L$34)*(1+Assumptions!$H$10))*Assumptions!$H$8,0)</f>
        <v/>
      </c>
      <c r="CV55" s="25">
        <f>IF(MOD(CV$3,12)=0,MAX(0,SUMIF($D$4:$DS$4,CV$4,$D$48:$DS$48)-SUMPRODUCT((CapEx!$J$5:$J$34&lt;=CV$4)*(CapEx!$J$5:$J$34+CapEx!$K$5:$K$34&gt;CV$4)*CapEx!$L$5:$L$34)*(1+Assumptions!$H$10))*Assumptions!$H$8,0)</f>
        <v/>
      </c>
      <c r="CW55" s="25">
        <f>IF(MOD(CW$3,12)=0,MAX(0,SUMIF($D$4:$DS$4,CW$4,$D$48:$DS$48)-SUMPRODUCT((CapEx!$J$5:$J$34&lt;=CW$4)*(CapEx!$J$5:$J$34+CapEx!$K$5:$K$34&gt;CW$4)*CapEx!$L$5:$L$34)*(1+Assumptions!$H$10))*Assumptions!$H$8,0)</f>
        <v/>
      </c>
      <c r="CX55" s="25">
        <f>IF(MOD(CX$3,12)=0,MAX(0,SUMIF($D$4:$DS$4,CX$4,$D$48:$DS$48)-SUMPRODUCT((CapEx!$J$5:$J$34&lt;=CX$4)*(CapEx!$J$5:$J$34+CapEx!$K$5:$K$34&gt;CX$4)*CapEx!$L$5:$L$34)*(1+Assumptions!$H$10))*Assumptions!$H$8,0)</f>
        <v/>
      </c>
      <c r="CY55" s="25">
        <f>IF(MOD(CY$3,12)=0,MAX(0,SUMIF($D$4:$DS$4,CY$4,$D$48:$DS$48)-SUMPRODUCT((CapEx!$J$5:$J$34&lt;=CY$4)*(CapEx!$J$5:$J$34+CapEx!$K$5:$K$34&gt;CY$4)*CapEx!$L$5:$L$34)*(1+Assumptions!$H$10))*Assumptions!$H$8,0)</f>
        <v/>
      </c>
      <c r="CZ55" s="25">
        <f>IF(MOD(CZ$3,12)=0,MAX(0,SUMIF($D$4:$DS$4,CZ$4,$D$48:$DS$48)-SUMPRODUCT((CapEx!$J$5:$J$34&lt;=CZ$4)*(CapEx!$J$5:$J$34+CapEx!$K$5:$K$34&gt;CZ$4)*CapEx!$L$5:$L$34)*(1+Assumptions!$H$10))*Assumptions!$H$8,0)</f>
        <v/>
      </c>
      <c r="DA55" s="25">
        <f>IF(MOD(DA$3,12)=0,MAX(0,SUMIF($D$4:$DS$4,DA$4,$D$48:$DS$48)-SUMPRODUCT((CapEx!$J$5:$J$34&lt;=DA$4)*(CapEx!$J$5:$J$34+CapEx!$K$5:$K$34&gt;DA$4)*CapEx!$L$5:$L$34)*(1+Assumptions!$H$10))*Assumptions!$H$8,0)</f>
        <v/>
      </c>
      <c r="DB55" s="25">
        <f>IF(MOD(DB$3,12)=0,MAX(0,SUMIF($D$4:$DS$4,DB$4,$D$48:$DS$48)-SUMPRODUCT((CapEx!$J$5:$J$34&lt;=DB$4)*(CapEx!$J$5:$J$34+CapEx!$K$5:$K$34&gt;DB$4)*CapEx!$L$5:$L$34)*(1+Assumptions!$H$10))*Assumptions!$H$8,0)</f>
        <v/>
      </c>
      <c r="DC55" s="25">
        <f>IF(MOD(DC$3,12)=0,MAX(0,SUMIF($D$4:$DS$4,DC$4,$D$48:$DS$48)-SUMPRODUCT((CapEx!$J$5:$J$34&lt;=DC$4)*(CapEx!$J$5:$J$34+CapEx!$K$5:$K$34&gt;DC$4)*CapEx!$L$5:$L$34)*(1+Assumptions!$H$10))*Assumptions!$H$8,0)</f>
        <v/>
      </c>
      <c r="DD55" s="25">
        <f>IF(MOD(DD$3,12)=0,MAX(0,SUMIF($D$4:$DS$4,DD$4,$D$48:$DS$48)-SUMPRODUCT((CapEx!$J$5:$J$34&lt;=DD$4)*(CapEx!$J$5:$J$34+CapEx!$K$5:$K$34&gt;DD$4)*CapEx!$L$5:$L$34)*(1+Assumptions!$H$10))*Assumptions!$H$8,0)</f>
        <v/>
      </c>
      <c r="DE55" s="25">
        <f>IF(MOD(DE$3,12)=0,MAX(0,SUMIF($D$4:$DS$4,DE$4,$D$48:$DS$48)-SUMPRODUCT((CapEx!$J$5:$J$34&lt;=DE$4)*(CapEx!$J$5:$J$34+CapEx!$K$5:$K$34&gt;DE$4)*CapEx!$L$5:$L$34)*(1+Assumptions!$H$10))*Assumptions!$H$8,0)</f>
        <v/>
      </c>
      <c r="DF55" s="25">
        <f>IF(MOD(DF$3,12)=0,MAX(0,SUMIF($D$4:$DS$4,DF$4,$D$48:$DS$48)-SUMPRODUCT((CapEx!$J$5:$J$34&lt;=DF$4)*(CapEx!$J$5:$J$34+CapEx!$K$5:$K$34&gt;DF$4)*CapEx!$L$5:$L$34)*(1+Assumptions!$H$10))*Assumptions!$H$8,0)</f>
        <v/>
      </c>
      <c r="DG55" s="25">
        <f>IF(MOD(DG$3,12)=0,MAX(0,SUMIF($D$4:$DS$4,DG$4,$D$48:$DS$48)-SUMPRODUCT((CapEx!$J$5:$J$34&lt;=DG$4)*(CapEx!$J$5:$J$34+CapEx!$K$5:$K$34&gt;DG$4)*CapEx!$L$5:$L$34)*(1+Assumptions!$H$10))*Assumptions!$H$8,0)</f>
        <v/>
      </c>
      <c r="DH55" s="25">
        <f>IF(MOD(DH$3,12)=0,MAX(0,SUMIF($D$4:$DS$4,DH$4,$D$48:$DS$48)-SUMPRODUCT((CapEx!$J$5:$J$34&lt;=DH$4)*(CapEx!$J$5:$J$34+CapEx!$K$5:$K$34&gt;DH$4)*CapEx!$L$5:$L$34)*(1+Assumptions!$H$10))*Assumptions!$H$8,0)</f>
        <v/>
      </c>
      <c r="DI55" s="25">
        <f>IF(MOD(DI$3,12)=0,MAX(0,SUMIF($D$4:$DS$4,DI$4,$D$48:$DS$48)-SUMPRODUCT((CapEx!$J$5:$J$34&lt;=DI$4)*(CapEx!$J$5:$J$34+CapEx!$K$5:$K$34&gt;DI$4)*CapEx!$L$5:$L$34)*(1+Assumptions!$H$10))*Assumptions!$H$8,0)</f>
        <v/>
      </c>
      <c r="DJ55" s="25">
        <f>IF(MOD(DJ$3,12)=0,MAX(0,SUMIF($D$4:$DS$4,DJ$4,$D$48:$DS$48)-SUMPRODUCT((CapEx!$J$5:$J$34&lt;=DJ$4)*(CapEx!$J$5:$J$34+CapEx!$K$5:$K$34&gt;DJ$4)*CapEx!$L$5:$L$34)*(1+Assumptions!$H$10))*Assumptions!$H$8,0)</f>
        <v/>
      </c>
      <c r="DK55" s="25">
        <f>IF(MOD(DK$3,12)=0,MAX(0,SUMIF($D$4:$DS$4,DK$4,$D$48:$DS$48)-SUMPRODUCT((CapEx!$J$5:$J$34&lt;=DK$4)*(CapEx!$J$5:$J$34+CapEx!$K$5:$K$34&gt;DK$4)*CapEx!$L$5:$L$34)*(1+Assumptions!$H$10))*Assumptions!$H$8,0)</f>
        <v/>
      </c>
      <c r="DL55" s="25">
        <f>IF(MOD(DL$3,12)=0,MAX(0,SUMIF($D$4:$DS$4,DL$4,$D$48:$DS$48)-SUMPRODUCT((CapEx!$J$5:$J$34&lt;=DL$4)*(CapEx!$J$5:$J$34+CapEx!$K$5:$K$34&gt;DL$4)*CapEx!$L$5:$L$34)*(1+Assumptions!$H$10))*Assumptions!$H$8,0)</f>
        <v/>
      </c>
      <c r="DM55" s="25">
        <f>IF(MOD(DM$3,12)=0,MAX(0,SUMIF($D$4:$DS$4,DM$4,$D$48:$DS$48)-SUMPRODUCT((CapEx!$J$5:$J$34&lt;=DM$4)*(CapEx!$J$5:$J$34+CapEx!$K$5:$K$34&gt;DM$4)*CapEx!$L$5:$L$34)*(1+Assumptions!$H$10))*Assumptions!$H$8,0)</f>
        <v/>
      </c>
      <c r="DN55" s="25">
        <f>IF(MOD(DN$3,12)=0,MAX(0,SUMIF($D$4:$DS$4,DN$4,$D$48:$DS$48)-SUMPRODUCT((CapEx!$J$5:$J$34&lt;=DN$4)*(CapEx!$J$5:$J$34+CapEx!$K$5:$K$34&gt;DN$4)*CapEx!$L$5:$L$34)*(1+Assumptions!$H$10))*Assumptions!$H$8,0)</f>
        <v/>
      </c>
      <c r="DO55" s="25">
        <f>IF(MOD(DO$3,12)=0,MAX(0,SUMIF($D$4:$DS$4,DO$4,$D$48:$DS$48)-SUMPRODUCT((CapEx!$J$5:$J$34&lt;=DO$4)*(CapEx!$J$5:$J$34+CapEx!$K$5:$K$34&gt;DO$4)*CapEx!$L$5:$L$34)*(1+Assumptions!$H$10))*Assumptions!$H$8,0)</f>
        <v/>
      </c>
      <c r="DP55" s="25">
        <f>IF(MOD(DP$3,12)=0,MAX(0,SUMIF($D$4:$DS$4,DP$4,$D$48:$DS$48)-SUMPRODUCT((CapEx!$J$5:$J$34&lt;=DP$4)*(CapEx!$J$5:$J$34+CapEx!$K$5:$K$34&gt;DP$4)*CapEx!$L$5:$L$34)*(1+Assumptions!$H$10))*Assumptions!$H$8,0)</f>
        <v/>
      </c>
      <c r="DQ55" s="25">
        <f>IF(MOD(DQ$3,12)=0,MAX(0,SUMIF($D$4:$DS$4,DQ$4,$D$48:$DS$48)-SUMPRODUCT((CapEx!$J$5:$J$34&lt;=DQ$4)*(CapEx!$J$5:$J$34+CapEx!$K$5:$K$34&gt;DQ$4)*CapEx!$L$5:$L$34)*(1+Assumptions!$H$10))*Assumptions!$H$8,0)</f>
        <v/>
      </c>
      <c r="DR55" s="25">
        <f>IF(MOD(DR$3,12)=0,MAX(0,SUMIF($D$4:$DS$4,DR$4,$D$48:$DS$48)-SUMPRODUCT((CapEx!$J$5:$J$34&lt;=DR$4)*(CapEx!$J$5:$J$34+CapEx!$K$5:$K$34&gt;DR$4)*CapEx!$L$5:$L$34)*(1+Assumptions!$H$10))*Assumptions!$H$8,0)</f>
        <v/>
      </c>
      <c r="DS55" s="25">
        <f>IF(MOD(DS$3,12)=0,MAX(0,SUMIF($D$4:$DS$4,DS$4,$D$48:$DS$48)-SUMPRODUCT((CapEx!$J$5:$J$34&lt;=DS$4)*(CapEx!$J$5:$J$34+CapEx!$K$5:$K$34&gt;DS$4)*CapEx!$L$5:$L$34)*(1+Assumptions!$H$10))*Assumptions!$H$8,0)</f>
        <v/>
      </c>
    </row>
    <row r="57">
      <c r="A57" s="2" t="inlineStr">
        <is>
          <t>CF_NET</t>
        </is>
      </c>
      <c r="B57" s="3" t="inlineStr">
        <is>
          <t>NET CASH FLOW (pre-financing)</t>
        </is>
      </c>
      <c r="C57" s="2" t="inlineStr">
        <is>
          <t>RWF</t>
        </is>
      </c>
      <c r="D57" s="37">
        <f>D25-D46-D53-D55</f>
        <v/>
      </c>
      <c r="E57" s="37">
        <f>E25-E46-E53-E55</f>
        <v/>
      </c>
      <c r="F57" s="37">
        <f>F25-F46-F53-F55</f>
        <v/>
      </c>
      <c r="G57" s="37">
        <f>G25-G46-G53-G55</f>
        <v/>
      </c>
      <c r="H57" s="37">
        <f>H25-H46-H53-H55</f>
        <v/>
      </c>
      <c r="I57" s="37">
        <f>I25-I46-I53-I55</f>
        <v/>
      </c>
      <c r="J57" s="37">
        <f>J25-J46-J53-J55</f>
        <v/>
      </c>
      <c r="K57" s="37">
        <f>K25-K46-K53-K55</f>
        <v/>
      </c>
      <c r="L57" s="37">
        <f>L25-L46-L53-L55</f>
        <v/>
      </c>
      <c r="M57" s="37">
        <f>M25-M46-M53-M55</f>
        <v/>
      </c>
      <c r="N57" s="37">
        <f>N25-N46-N53-N55</f>
        <v/>
      </c>
      <c r="O57" s="37">
        <f>O25-O46-O53-O55</f>
        <v/>
      </c>
      <c r="P57" s="37">
        <f>P25-P46-P53-P55</f>
        <v/>
      </c>
      <c r="Q57" s="37">
        <f>Q25-Q46-Q53-Q55</f>
        <v/>
      </c>
      <c r="R57" s="37">
        <f>R25-R46-R53-R55</f>
        <v/>
      </c>
      <c r="S57" s="37">
        <f>S25-S46-S53-S55</f>
        <v/>
      </c>
      <c r="T57" s="37">
        <f>T25-T46-T53-T55</f>
        <v/>
      </c>
      <c r="U57" s="37">
        <f>U25-U46-U53-U55</f>
        <v/>
      </c>
      <c r="V57" s="37">
        <f>V25-V46-V53-V55</f>
        <v/>
      </c>
      <c r="W57" s="37">
        <f>W25-W46-W53-W55</f>
        <v/>
      </c>
      <c r="X57" s="37">
        <f>X25-X46-X53-X55</f>
        <v/>
      </c>
      <c r="Y57" s="37">
        <f>Y25-Y46-Y53-Y55</f>
        <v/>
      </c>
      <c r="Z57" s="37">
        <f>Z25-Z46-Z53-Z55</f>
        <v/>
      </c>
      <c r="AA57" s="37">
        <f>AA25-AA46-AA53-AA55</f>
        <v/>
      </c>
      <c r="AB57" s="37">
        <f>AB25-AB46-AB53-AB55</f>
        <v/>
      </c>
      <c r="AC57" s="37">
        <f>AC25-AC46-AC53-AC55</f>
        <v/>
      </c>
      <c r="AD57" s="37">
        <f>AD25-AD46-AD53-AD55</f>
        <v/>
      </c>
      <c r="AE57" s="37">
        <f>AE25-AE46-AE53-AE55</f>
        <v/>
      </c>
      <c r="AF57" s="37">
        <f>AF25-AF46-AF53-AF55</f>
        <v/>
      </c>
      <c r="AG57" s="37">
        <f>AG25-AG46-AG53-AG55</f>
        <v/>
      </c>
      <c r="AH57" s="37">
        <f>AH25-AH46-AH53-AH55</f>
        <v/>
      </c>
      <c r="AI57" s="37">
        <f>AI25-AI46-AI53-AI55</f>
        <v/>
      </c>
      <c r="AJ57" s="37">
        <f>AJ25-AJ46-AJ53-AJ55</f>
        <v/>
      </c>
      <c r="AK57" s="37">
        <f>AK25-AK46-AK53-AK55</f>
        <v/>
      </c>
      <c r="AL57" s="37">
        <f>AL25-AL46-AL53-AL55</f>
        <v/>
      </c>
      <c r="AM57" s="37">
        <f>AM25-AM46-AM53-AM55</f>
        <v/>
      </c>
      <c r="AN57" s="37">
        <f>AN25-AN46-AN53-AN55</f>
        <v/>
      </c>
      <c r="AO57" s="37">
        <f>AO25-AO46-AO53-AO55</f>
        <v/>
      </c>
      <c r="AP57" s="37">
        <f>AP25-AP46-AP53-AP55</f>
        <v/>
      </c>
      <c r="AQ57" s="37">
        <f>AQ25-AQ46-AQ53-AQ55</f>
        <v/>
      </c>
      <c r="AR57" s="37">
        <f>AR25-AR46-AR53-AR55</f>
        <v/>
      </c>
      <c r="AS57" s="37">
        <f>AS25-AS46-AS53-AS55</f>
        <v/>
      </c>
      <c r="AT57" s="37">
        <f>AT25-AT46-AT53-AT55</f>
        <v/>
      </c>
      <c r="AU57" s="37">
        <f>AU25-AU46-AU53-AU55</f>
        <v/>
      </c>
      <c r="AV57" s="37">
        <f>AV25-AV46-AV53-AV55</f>
        <v/>
      </c>
      <c r="AW57" s="37">
        <f>AW25-AW46-AW53-AW55</f>
        <v/>
      </c>
      <c r="AX57" s="37">
        <f>AX25-AX46-AX53-AX55</f>
        <v/>
      </c>
      <c r="AY57" s="37">
        <f>AY25-AY46-AY53-AY55</f>
        <v/>
      </c>
      <c r="AZ57" s="37">
        <f>AZ25-AZ46-AZ53-AZ55</f>
        <v/>
      </c>
      <c r="BA57" s="37">
        <f>BA25-BA46-BA53-BA55</f>
        <v/>
      </c>
      <c r="BB57" s="37">
        <f>BB25-BB46-BB53-BB55</f>
        <v/>
      </c>
      <c r="BC57" s="37">
        <f>BC25-BC46-BC53-BC55</f>
        <v/>
      </c>
      <c r="BD57" s="37">
        <f>BD25-BD46-BD53-BD55</f>
        <v/>
      </c>
      <c r="BE57" s="37">
        <f>BE25-BE46-BE53-BE55</f>
        <v/>
      </c>
      <c r="BF57" s="37">
        <f>BF25-BF46-BF53-BF55</f>
        <v/>
      </c>
      <c r="BG57" s="37">
        <f>BG25-BG46-BG53-BG55</f>
        <v/>
      </c>
      <c r="BH57" s="37">
        <f>BH25-BH46-BH53-BH55</f>
        <v/>
      </c>
      <c r="BI57" s="37">
        <f>BI25-BI46-BI53-BI55</f>
        <v/>
      </c>
      <c r="BJ57" s="37">
        <f>BJ25-BJ46-BJ53-BJ55</f>
        <v/>
      </c>
      <c r="BK57" s="37">
        <f>BK25-BK46-BK53-BK55</f>
        <v/>
      </c>
      <c r="BL57" s="37">
        <f>BL25-BL46-BL53-BL55</f>
        <v/>
      </c>
      <c r="BM57" s="37">
        <f>BM25-BM46-BM53-BM55</f>
        <v/>
      </c>
      <c r="BN57" s="37">
        <f>BN25-BN46-BN53-BN55</f>
        <v/>
      </c>
      <c r="BO57" s="37">
        <f>BO25-BO46-BO53-BO55</f>
        <v/>
      </c>
      <c r="BP57" s="37">
        <f>BP25-BP46-BP53-BP55</f>
        <v/>
      </c>
      <c r="BQ57" s="37">
        <f>BQ25-BQ46-BQ53-BQ55</f>
        <v/>
      </c>
      <c r="BR57" s="37">
        <f>BR25-BR46-BR53-BR55</f>
        <v/>
      </c>
      <c r="BS57" s="37">
        <f>BS25-BS46-BS53-BS55</f>
        <v/>
      </c>
      <c r="BT57" s="37">
        <f>BT25-BT46-BT53-BT55</f>
        <v/>
      </c>
      <c r="BU57" s="37">
        <f>BU25-BU46-BU53-BU55</f>
        <v/>
      </c>
      <c r="BV57" s="37">
        <f>BV25-BV46-BV53-BV55</f>
        <v/>
      </c>
      <c r="BW57" s="37">
        <f>BW25-BW46-BW53-BW55</f>
        <v/>
      </c>
      <c r="BX57" s="37">
        <f>BX25-BX46-BX53-BX55</f>
        <v/>
      </c>
      <c r="BY57" s="37">
        <f>BY25-BY46-BY53-BY55</f>
        <v/>
      </c>
      <c r="BZ57" s="37">
        <f>BZ25-BZ46-BZ53-BZ55</f>
        <v/>
      </c>
      <c r="CA57" s="37">
        <f>CA25-CA46-CA53-CA55</f>
        <v/>
      </c>
      <c r="CB57" s="37">
        <f>CB25-CB46-CB53-CB55</f>
        <v/>
      </c>
      <c r="CC57" s="37">
        <f>CC25-CC46-CC53-CC55</f>
        <v/>
      </c>
      <c r="CD57" s="37">
        <f>CD25-CD46-CD53-CD55</f>
        <v/>
      </c>
      <c r="CE57" s="37">
        <f>CE25-CE46-CE53-CE55</f>
        <v/>
      </c>
      <c r="CF57" s="37">
        <f>CF25-CF46-CF53-CF55</f>
        <v/>
      </c>
      <c r="CG57" s="37">
        <f>CG25-CG46-CG53-CG55</f>
        <v/>
      </c>
      <c r="CH57" s="37">
        <f>CH25-CH46-CH53-CH55</f>
        <v/>
      </c>
      <c r="CI57" s="37">
        <f>CI25-CI46-CI53-CI55</f>
        <v/>
      </c>
      <c r="CJ57" s="37">
        <f>CJ25-CJ46-CJ53-CJ55</f>
        <v/>
      </c>
      <c r="CK57" s="37">
        <f>CK25-CK46-CK53-CK55</f>
        <v/>
      </c>
      <c r="CL57" s="37">
        <f>CL25-CL46-CL53-CL55</f>
        <v/>
      </c>
      <c r="CM57" s="37">
        <f>CM25-CM46-CM53-CM55</f>
        <v/>
      </c>
      <c r="CN57" s="37">
        <f>CN25-CN46-CN53-CN55</f>
        <v/>
      </c>
      <c r="CO57" s="37">
        <f>CO25-CO46-CO53-CO55</f>
        <v/>
      </c>
      <c r="CP57" s="37">
        <f>CP25-CP46-CP53-CP55</f>
        <v/>
      </c>
      <c r="CQ57" s="37">
        <f>CQ25-CQ46-CQ53-CQ55</f>
        <v/>
      </c>
      <c r="CR57" s="37">
        <f>CR25-CR46-CR53-CR55</f>
        <v/>
      </c>
      <c r="CS57" s="37">
        <f>CS25-CS46-CS53-CS55</f>
        <v/>
      </c>
      <c r="CT57" s="37">
        <f>CT25-CT46-CT53-CT55</f>
        <v/>
      </c>
      <c r="CU57" s="37">
        <f>CU25-CU46-CU53-CU55</f>
        <v/>
      </c>
      <c r="CV57" s="37">
        <f>CV25-CV46-CV53-CV55</f>
        <v/>
      </c>
      <c r="CW57" s="37">
        <f>CW25-CW46-CW53-CW55</f>
        <v/>
      </c>
      <c r="CX57" s="37">
        <f>CX25-CX46-CX53-CX55</f>
        <v/>
      </c>
      <c r="CY57" s="37">
        <f>CY25-CY46-CY53-CY55</f>
        <v/>
      </c>
      <c r="CZ57" s="37">
        <f>CZ25-CZ46-CZ53-CZ55</f>
        <v/>
      </c>
      <c r="DA57" s="37">
        <f>DA25-DA46-DA53-DA55</f>
        <v/>
      </c>
      <c r="DB57" s="37">
        <f>DB25-DB46-DB53-DB55</f>
        <v/>
      </c>
      <c r="DC57" s="37">
        <f>DC25-DC46-DC53-DC55</f>
        <v/>
      </c>
      <c r="DD57" s="37">
        <f>DD25-DD46-DD53-DD55</f>
        <v/>
      </c>
      <c r="DE57" s="37">
        <f>DE25-DE46-DE53-DE55</f>
        <v/>
      </c>
      <c r="DF57" s="37">
        <f>DF25-DF46-DF53-DF55</f>
        <v/>
      </c>
      <c r="DG57" s="37">
        <f>DG25-DG46-DG53-DG55</f>
        <v/>
      </c>
      <c r="DH57" s="37">
        <f>DH25-DH46-DH53-DH55</f>
        <v/>
      </c>
      <c r="DI57" s="37">
        <f>DI25-DI46-DI53-DI55</f>
        <v/>
      </c>
      <c r="DJ57" s="37">
        <f>DJ25-DJ46-DJ53-DJ55</f>
        <v/>
      </c>
      <c r="DK57" s="37">
        <f>DK25-DK46-DK53-DK55</f>
        <v/>
      </c>
      <c r="DL57" s="37">
        <f>DL25-DL46-DL53-DL55</f>
        <v/>
      </c>
      <c r="DM57" s="37">
        <f>DM25-DM46-DM53-DM55</f>
        <v/>
      </c>
      <c r="DN57" s="37">
        <f>DN25-DN46-DN53-DN55</f>
        <v/>
      </c>
      <c r="DO57" s="37">
        <f>DO25-DO46-DO53-DO55</f>
        <v/>
      </c>
      <c r="DP57" s="37">
        <f>DP25-DP46-DP53-DP55</f>
        <v/>
      </c>
      <c r="DQ57" s="37">
        <f>DQ25-DQ46-DQ53-DQ55</f>
        <v/>
      </c>
      <c r="DR57" s="37">
        <f>DR25-DR46-DR53-DR55</f>
        <v/>
      </c>
      <c r="DS57" s="37">
        <f>DS25-DS46-DS53-DS55</f>
        <v/>
      </c>
    </row>
    <row r="58">
      <c r="A58" s="2" t="inlineStr">
        <is>
          <t>CF_CUM</t>
        </is>
      </c>
      <c r="B58" s="3" t="inlineStr">
        <is>
          <t>Cumulative net cash flow</t>
        </is>
      </c>
      <c r="C58" s="2" t="inlineStr">
        <is>
          <t>RWF</t>
        </is>
      </c>
      <c r="D58" s="31">
        <f>0+D57</f>
        <v/>
      </c>
      <c r="E58" s="31">
        <f>D58+E57</f>
        <v/>
      </c>
      <c r="F58" s="31">
        <f>E58+F57</f>
        <v/>
      </c>
      <c r="G58" s="31">
        <f>F58+G57</f>
        <v/>
      </c>
      <c r="H58" s="31">
        <f>G58+H57</f>
        <v/>
      </c>
      <c r="I58" s="31">
        <f>H58+I57</f>
        <v/>
      </c>
      <c r="J58" s="31">
        <f>I58+J57</f>
        <v/>
      </c>
      <c r="K58" s="31">
        <f>J58+K57</f>
        <v/>
      </c>
      <c r="L58" s="31">
        <f>K58+L57</f>
        <v/>
      </c>
      <c r="M58" s="31">
        <f>L58+M57</f>
        <v/>
      </c>
      <c r="N58" s="31">
        <f>M58+N57</f>
        <v/>
      </c>
      <c r="O58" s="31">
        <f>N58+O57</f>
        <v/>
      </c>
      <c r="P58" s="31">
        <f>O58+P57</f>
        <v/>
      </c>
      <c r="Q58" s="31">
        <f>P58+Q57</f>
        <v/>
      </c>
      <c r="R58" s="31">
        <f>Q58+R57</f>
        <v/>
      </c>
      <c r="S58" s="31">
        <f>R58+S57</f>
        <v/>
      </c>
      <c r="T58" s="31">
        <f>S58+T57</f>
        <v/>
      </c>
      <c r="U58" s="31">
        <f>T58+U57</f>
        <v/>
      </c>
      <c r="V58" s="31">
        <f>U58+V57</f>
        <v/>
      </c>
      <c r="W58" s="31">
        <f>V58+W57</f>
        <v/>
      </c>
      <c r="X58" s="31">
        <f>W58+X57</f>
        <v/>
      </c>
      <c r="Y58" s="31">
        <f>X58+Y57</f>
        <v/>
      </c>
      <c r="Z58" s="31">
        <f>Y58+Z57</f>
        <v/>
      </c>
      <c r="AA58" s="31">
        <f>Z58+AA57</f>
        <v/>
      </c>
      <c r="AB58" s="31">
        <f>AA58+AB57</f>
        <v/>
      </c>
      <c r="AC58" s="31">
        <f>AB58+AC57</f>
        <v/>
      </c>
      <c r="AD58" s="31">
        <f>AC58+AD57</f>
        <v/>
      </c>
      <c r="AE58" s="31">
        <f>AD58+AE57</f>
        <v/>
      </c>
      <c r="AF58" s="31">
        <f>AE58+AF57</f>
        <v/>
      </c>
      <c r="AG58" s="31">
        <f>AF58+AG57</f>
        <v/>
      </c>
      <c r="AH58" s="31">
        <f>AG58+AH57</f>
        <v/>
      </c>
      <c r="AI58" s="31">
        <f>AH58+AI57</f>
        <v/>
      </c>
      <c r="AJ58" s="31">
        <f>AI58+AJ57</f>
        <v/>
      </c>
      <c r="AK58" s="31">
        <f>AJ58+AK57</f>
        <v/>
      </c>
      <c r="AL58" s="31">
        <f>AK58+AL57</f>
        <v/>
      </c>
      <c r="AM58" s="31">
        <f>AL58+AM57</f>
        <v/>
      </c>
      <c r="AN58" s="31">
        <f>AM58+AN57</f>
        <v/>
      </c>
      <c r="AO58" s="31">
        <f>AN58+AO57</f>
        <v/>
      </c>
      <c r="AP58" s="31">
        <f>AO58+AP57</f>
        <v/>
      </c>
      <c r="AQ58" s="31">
        <f>AP58+AQ57</f>
        <v/>
      </c>
      <c r="AR58" s="31">
        <f>AQ58+AR57</f>
        <v/>
      </c>
      <c r="AS58" s="31">
        <f>AR58+AS57</f>
        <v/>
      </c>
      <c r="AT58" s="31">
        <f>AS58+AT57</f>
        <v/>
      </c>
      <c r="AU58" s="31">
        <f>AT58+AU57</f>
        <v/>
      </c>
      <c r="AV58" s="31">
        <f>AU58+AV57</f>
        <v/>
      </c>
      <c r="AW58" s="31">
        <f>AV58+AW57</f>
        <v/>
      </c>
      <c r="AX58" s="31">
        <f>AW58+AX57</f>
        <v/>
      </c>
      <c r="AY58" s="31">
        <f>AX58+AY57</f>
        <v/>
      </c>
      <c r="AZ58" s="31">
        <f>AY58+AZ57</f>
        <v/>
      </c>
      <c r="BA58" s="31">
        <f>AZ58+BA57</f>
        <v/>
      </c>
      <c r="BB58" s="31">
        <f>BA58+BB57</f>
        <v/>
      </c>
      <c r="BC58" s="31">
        <f>BB58+BC57</f>
        <v/>
      </c>
      <c r="BD58" s="31">
        <f>BC58+BD57</f>
        <v/>
      </c>
      <c r="BE58" s="31">
        <f>BD58+BE57</f>
        <v/>
      </c>
      <c r="BF58" s="31">
        <f>BE58+BF57</f>
        <v/>
      </c>
      <c r="BG58" s="31">
        <f>BF58+BG57</f>
        <v/>
      </c>
      <c r="BH58" s="31">
        <f>BG58+BH57</f>
        <v/>
      </c>
      <c r="BI58" s="31">
        <f>BH58+BI57</f>
        <v/>
      </c>
      <c r="BJ58" s="31">
        <f>BI58+BJ57</f>
        <v/>
      </c>
      <c r="BK58" s="31">
        <f>BJ58+BK57</f>
        <v/>
      </c>
      <c r="BL58" s="31">
        <f>BK58+BL57</f>
        <v/>
      </c>
      <c r="BM58" s="31">
        <f>BL58+BM57</f>
        <v/>
      </c>
      <c r="BN58" s="31">
        <f>BM58+BN57</f>
        <v/>
      </c>
      <c r="BO58" s="31">
        <f>BN58+BO57</f>
        <v/>
      </c>
      <c r="BP58" s="31">
        <f>BO58+BP57</f>
        <v/>
      </c>
      <c r="BQ58" s="31">
        <f>BP58+BQ57</f>
        <v/>
      </c>
      <c r="BR58" s="31">
        <f>BQ58+BR57</f>
        <v/>
      </c>
      <c r="BS58" s="31">
        <f>BR58+BS57</f>
        <v/>
      </c>
      <c r="BT58" s="31">
        <f>BS58+BT57</f>
        <v/>
      </c>
      <c r="BU58" s="31">
        <f>BT58+BU57</f>
        <v/>
      </c>
      <c r="BV58" s="31">
        <f>BU58+BV57</f>
        <v/>
      </c>
      <c r="BW58" s="31">
        <f>BV58+BW57</f>
        <v/>
      </c>
      <c r="BX58" s="31">
        <f>BW58+BX57</f>
        <v/>
      </c>
      <c r="BY58" s="31">
        <f>BX58+BY57</f>
        <v/>
      </c>
      <c r="BZ58" s="31">
        <f>BY58+BZ57</f>
        <v/>
      </c>
      <c r="CA58" s="31">
        <f>BZ58+CA57</f>
        <v/>
      </c>
      <c r="CB58" s="31">
        <f>CA58+CB57</f>
        <v/>
      </c>
      <c r="CC58" s="31">
        <f>CB58+CC57</f>
        <v/>
      </c>
      <c r="CD58" s="31">
        <f>CC58+CD57</f>
        <v/>
      </c>
      <c r="CE58" s="31">
        <f>CD58+CE57</f>
        <v/>
      </c>
      <c r="CF58" s="31">
        <f>CE58+CF57</f>
        <v/>
      </c>
      <c r="CG58" s="31">
        <f>CF58+CG57</f>
        <v/>
      </c>
      <c r="CH58" s="31">
        <f>CG58+CH57</f>
        <v/>
      </c>
      <c r="CI58" s="31">
        <f>CH58+CI57</f>
        <v/>
      </c>
      <c r="CJ58" s="31">
        <f>CI58+CJ57</f>
        <v/>
      </c>
      <c r="CK58" s="31">
        <f>CJ58+CK57</f>
        <v/>
      </c>
      <c r="CL58" s="31">
        <f>CK58+CL57</f>
        <v/>
      </c>
      <c r="CM58" s="31">
        <f>CL58+CM57</f>
        <v/>
      </c>
      <c r="CN58" s="31">
        <f>CM58+CN57</f>
        <v/>
      </c>
      <c r="CO58" s="31">
        <f>CN58+CO57</f>
        <v/>
      </c>
      <c r="CP58" s="31">
        <f>CO58+CP57</f>
        <v/>
      </c>
      <c r="CQ58" s="31">
        <f>CP58+CQ57</f>
        <v/>
      </c>
      <c r="CR58" s="31">
        <f>CQ58+CR57</f>
        <v/>
      </c>
      <c r="CS58" s="31">
        <f>CR58+CS57</f>
        <v/>
      </c>
      <c r="CT58" s="31">
        <f>CS58+CT57</f>
        <v/>
      </c>
      <c r="CU58" s="31">
        <f>CT58+CU57</f>
        <v/>
      </c>
      <c r="CV58" s="31">
        <f>CU58+CV57</f>
        <v/>
      </c>
      <c r="CW58" s="31">
        <f>CV58+CW57</f>
        <v/>
      </c>
      <c r="CX58" s="31">
        <f>CW58+CX57</f>
        <v/>
      </c>
      <c r="CY58" s="31">
        <f>CX58+CY57</f>
        <v/>
      </c>
      <c r="CZ58" s="31">
        <f>CY58+CZ57</f>
        <v/>
      </c>
      <c r="DA58" s="31">
        <f>CZ58+DA57</f>
        <v/>
      </c>
      <c r="DB58" s="31">
        <f>DA58+DB57</f>
        <v/>
      </c>
      <c r="DC58" s="31">
        <f>DB58+DC57</f>
        <v/>
      </c>
      <c r="DD58" s="31">
        <f>DC58+DD57</f>
        <v/>
      </c>
      <c r="DE58" s="31">
        <f>DD58+DE57</f>
        <v/>
      </c>
      <c r="DF58" s="31">
        <f>DE58+DF57</f>
        <v/>
      </c>
      <c r="DG58" s="31">
        <f>DF58+DG57</f>
        <v/>
      </c>
      <c r="DH58" s="31">
        <f>DG58+DH57</f>
        <v/>
      </c>
      <c r="DI58" s="31">
        <f>DH58+DI57</f>
        <v/>
      </c>
      <c r="DJ58" s="31">
        <f>DI58+DJ57</f>
        <v/>
      </c>
      <c r="DK58" s="31">
        <f>DJ58+DK57</f>
        <v/>
      </c>
      <c r="DL58" s="31">
        <f>DK58+DL57</f>
        <v/>
      </c>
      <c r="DM58" s="31">
        <f>DL58+DM57</f>
        <v/>
      </c>
      <c r="DN58" s="31">
        <f>DM58+DN57</f>
        <v/>
      </c>
      <c r="DO58" s="31">
        <f>DN58+DO57</f>
        <v/>
      </c>
      <c r="DP58" s="31">
        <f>DO58+DP57</f>
        <v/>
      </c>
      <c r="DQ58" s="31">
        <f>DP58+DQ57</f>
        <v/>
      </c>
      <c r="DR58" s="31">
        <f>DQ58+DR57</f>
        <v/>
      </c>
      <c r="DS58" s="31">
        <f>DR58+DS57</f>
        <v/>
      </c>
    </row>
    <row r="59">
      <c r="A59" s="2" t="inlineStr">
        <is>
          <t>CF_BAL</t>
        </is>
      </c>
      <c r="B59" s="3" t="inlineStr">
        <is>
          <t>Cash balance with founder capital</t>
        </is>
      </c>
      <c r="C59" s="2" t="inlineStr">
        <is>
          <t>RWF</t>
        </is>
      </c>
      <c r="D59" s="30">
        <f>Control!$C$8+D58</f>
        <v/>
      </c>
      <c r="E59" s="30">
        <f>Control!$C$8+E58</f>
        <v/>
      </c>
      <c r="F59" s="30">
        <f>Control!$C$8+F58</f>
        <v/>
      </c>
      <c r="G59" s="30">
        <f>Control!$C$8+G58</f>
        <v/>
      </c>
      <c r="H59" s="30">
        <f>Control!$C$8+H58</f>
        <v/>
      </c>
      <c r="I59" s="30">
        <f>Control!$C$8+I58</f>
        <v/>
      </c>
      <c r="J59" s="30">
        <f>Control!$C$8+J58</f>
        <v/>
      </c>
      <c r="K59" s="30">
        <f>Control!$C$8+K58</f>
        <v/>
      </c>
      <c r="L59" s="30">
        <f>Control!$C$8+L58</f>
        <v/>
      </c>
      <c r="M59" s="30">
        <f>Control!$C$8+M58</f>
        <v/>
      </c>
      <c r="N59" s="30">
        <f>Control!$C$8+N58</f>
        <v/>
      </c>
      <c r="O59" s="30">
        <f>Control!$C$8+O58</f>
        <v/>
      </c>
      <c r="P59" s="30">
        <f>Control!$C$8+P58</f>
        <v/>
      </c>
      <c r="Q59" s="30">
        <f>Control!$C$8+Q58</f>
        <v/>
      </c>
      <c r="R59" s="30">
        <f>Control!$C$8+R58</f>
        <v/>
      </c>
      <c r="S59" s="30">
        <f>Control!$C$8+S58</f>
        <v/>
      </c>
      <c r="T59" s="30">
        <f>Control!$C$8+T58</f>
        <v/>
      </c>
      <c r="U59" s="30">
        <f>Control!$C$8+U58</f>
        <v/>
      </c>
      <c r="V59" s="30">
        <f>Control!$C$8+V58</f>
        <v/>
      </c>
      <c r="W59" s="30">
        <f>Control!$C$8+W58</f>
        <v/>
      </c>
      <c r="X59" s="30">
        <f>Control!$C$8+X58</f>
        <v/>
      </c>
      <c r="Y59" s="30">
        <f>Control!$C$8+Y58</f>
        <v/>
      </c>
      <c r="Z59" s="30">
        <f>Control!$C$8+Z58</f>
        <v/>
      </c>
      <c r="AA59" s="30">
        <f>Control!$C$8+AA58</f>
        <v/>
      </c>
      <c r="AB59" s="30">
        <f>Control!$C$8+AB58</f>
        <v/>
      </c>
      <c r="AC59" s="30">
        <f>Control!$C$8+AC58</f>
        <v/>
      </c>
      <c r="AD59" s="30">
        <f>Control!$C$8+AD58</f>
        <v/>
      </c>
      <c r="AE59" s="30">
        <f>Control!$C$8+AE58</f>
        <v/>
      </c>
      <c r="AF59" s="30">
        <f>Control!$C$8+AF58</f>
        <v/>
      </c>
      <c r="AG59" s="30">
        <f>Control!$C$8+AG58</f>
        <v/>
      </c>
      <c r="AH59" s="30">
        <f>Control!$C$8+AH58</f>
        <v/>
      </c>
      <c r="AI59" s="30">
        <f>Control!$C$8+AI58</f>
        <v/>
      </c>
      <c r="AJ59" s="30">
        <f>Control!$C$8+AJ58</f>
        <v/>
      </c>
      <c r="AK59" s="30">
        <f>Control!$C$8+AK58</f>
        <v/>
      </c>
      <c r="AL59" s="30">
        <f>Control!$C$8+AL58</f>
        <v/>
      </c>
      <c r="AM59" s="30">
        <f>Control!$C$8+AM58</f>
        <v/>
      </c>
      <c r="AN59" s="30">
        <f>Control!$C$8+AN58</f>
        <v/>
      </c>
      <c r="AO59" s="30">
        <f>Control!$C$8+AO58</f>
        <v/>
      </c>
      <c r="AP59" s="30">
        <f>Control!$C$8+AP58</f>
        <v/>
      </c>
      <c r="AQ59" s="30">
        <f>Control!$C$8+AQ58</f>
        <v/>
      </c>
      <c r="AR59" s="30">
        <f>Control!$C$8+AR58</f>
        <v/>
      </c>
      <c r="AS59" s="30">
        <f>Control!$C$8+AS58</f>
        <v/>
      </c>
      <c r="AT59" s="30">
        <f>Control!$C$8+AT58</f>
        <v/>
      </c>
      <c r="AU59" s="30">
        <f>Control!$C$8+AU58</f>
        <v/>
      </c>
      <c r="AV59" s="30">
        <f>Control!$C$8+AV58</f>
        <v/>
      </c>
      <c r="AW59" s="30">
        <f>Control!$C$8+AW58</f>
        <v/>
      </c>
      <c r="AX59" s="30">
        <f>Control!$C$8+AX58</f>
        <v/>
      </c>
      <c r="AY59" s="30">
        <f>Control!$C$8+AY58</f>
        <v/>
      </c>
      <c r="AZ59" s="30">
        <f>Control!$C$8+AZ58</f>
        <v/>
      </c>
      <c r="BA59" s="30">
        <f>Control!$C$8+BA58</f>
        <v/>
      </c>
      <c r="BB59" s="30">
        <f>Control!$C$8+BB58</f>
        <v/>
      </c>
      <c r="BC59" s="30">
        <f>Control!$C$8+BC58</f>
        <v/>
      </c>
      <c r="BD59" s="30">
        <f>Control!$C$8+BD58</f>
        <v/>
      </c>
      <c r="BE59" s="30">
        <f>Control!$C$8+BE58</f>
        <v/>
      </c>
      <c r="BF59" s="30">
        <f>Control!$C$8+BF58</f>
        <v/>
      </c>
      <c r="BG59" s="30">
        <f>Control!$C$8+BG58</f>
        <v/>
      </c>
      <c r="BH59" s="30">
        <f>Control!$C$8+BH58</f>
        <v/>
      </c>
      <c r="BI59" s="30">
        <f>Control!$C$8+BI58</f>
        <v/>
      </c>
      <c r="BJ59" s="30">
        <f>Control!$C$8+BJ58</f>
        <v/>
      </c>
      <c r="BK59" s="30">
        <f>Control!$C$8+BK58</f>
        <v/>
      </c>
      <c r="BL59" s="30">
        <f>Control!$C$8+BL58</f>
        <v/>
      </c>
      <c r="BM59" s="30">
        <f>Control!$C$8+BM58</f>
        <v/>
      </c>
      <c r="BN59" s="30">
        <f>Control!$C$8+BN58</f>
        <v/>
      </c>
      <c r="BO59" s="30">
        <f>Control!$C$8+BO58</f>
        <v/>
      </c>
      <c r="BP59" s="30">
        <f>Control!$C$8+BP58</f>
        <v/>
      </c>
      <c r="BQ59" s="30">
        <f>Control!$C$8+BQ58</f>
        <v/>
      </c>
      <c r="BR59" s="30">
        <f>Control!$C$8+BR58</f>
        <v/>
      </c>
      <c r="BS59" s="30">
        <f>Control!$C$8+BS58</f>
        <v/>
      </c>
      <c r="BT59" s="30">
        <f>Control!$C$8+BT58</f>
        <v/>
      </c>
      <c r="BU59" s="30">
        <f>Control!$C$8+BU58</f>
        <v/>
      </c>
      <c r="BV59" s="30">
        <f>Control!$C$8+BV58</f>
        <v/>
      </c>
      <c r="BW59" s="30">
        <f>Control!$C$8+BW58</f>
        <v/>
      </c>
      <c r="BX59" s="30">
        <f>Control!$C$8+BX58</f>
        <v/>
      </c>
      <c r="BY59" s="30">
        <f>Control!$C$8+BY58</f>
        <v/>
      </c>
      <c r="BZ59" s="30">
        <f>Control!$C$8+BZ58</f>
        <v/>
      </c>
      <c r="CA59" s="30">
        <f>Control!$C$8+CA58</f>
        <v/>
      </c>
      <c r="CB59" s="30">
        <f>Control!$C$8+CB58</f>
        <v/>
      </c>
      <c r="CC59" s="30">
        <f>Control!$C$8+CC58</f>
        <v/>
      </c>
      <c r="CD59" s="30">
        <f>Control!$C$8+CD58</f>
        <v/>
      </c>
      <c r="CE59" s="30">
        <f>Control!$C$8+CE58</f>
        <v/>
      </c>
      <c r="CF59" s="30">
        <f>Control!$C$8+CF58</f>
        <v/>
      </c>
      <c r="CG59" s="30">
        <f>Control!$C$8+CG58</f>
        <v/>
      </c>
      <c r="CH59" s="30">
        <f>Control!$C$8+CH58</f>
        <v/>
      </c>
      <c r="CI59" s="30">
        <f>Control!$C$8+CI58</f>
        <v/>
      </c>
      <c r="CJ59" s="30">
        <f>Control!$C$8+CJ58</f>
        <v/>
      </c>
      <c r="CK59" s="30">
        <f>Control!$C$8+CK58</f>
        <v/>
      </c>
      <c r="CL59" s="30">
        <f>Control!$C$8+CL58</f>
        <v/>
      </c>
      <c r="CM59" s="30">
        <f>Control!$C$8+CM58</f>
        <v/>
      </c>
      <c r="CN59" s="30">
        <f>Control!$C$8+CN58</f>
        <v/>
      </c>
      <c r="CO59" s="30">
        <f>Control!$C$8+CO58</f>
        <v/>
      </c>
      <c r="CP59" s="30">
        <f>Control!$C$8+CP58</f>
        <v/>
      </c>
      <c r="CQ59" s="30">
        <f>Control!$C$8+CQ58</f>
        <v/>
      </c>
      <c r="CR59" s="30">
        <f>Control!$C$8+CR58</f>
        <v/>
      </c>
      <c r="CS59" s="30">
        <f>Control!$C$8+CS58</f>
        <v/>
      </c>
      <c r="CT59" s="30">
        <f>Control!$C$8+CT58</f>
        <v/>
      </c>
      <c r="CU59" s="30">
        <f>Control!$C$8+CU58</f>
        <v/>
      </c>
      <c r="CV59" s="30">
        <f>Control!$C$8+CV58</f>
        <v/>
      </c>
      <c r="CW59" s="30">
        <f>Control!$C$8+CW58</f>
        <v/>
      </c>
      <c r="CX59" s="30">
        <f>Control!$C$8+CX58</f>
        <v/>
      </c>
      <c r="CY59" s="30">
        <f>Control!$C$8+CY58</f>
        <v/>
      </c>
      <c r="CZ59" s="30">
        <f>Control!$C$8+CZ58</f>
        <v/>
      </c>
      <c r="DA59" s="30">
        <f>Control!$C$8+DA58</f>
        <v/>
      </c>
      <c r="DB59" s="30">
        <f>Control!$C$8+DB58</f>
        <v/>
      </c>
      <c r="DC59" s="30">
        <f>Control!$C$8+DC58</f>
        <v/>
      </c>
      <c r="DD59" s="30">
        <f>Control!$C$8+DD58</f>
        <v/>
      </c>
      <c r="DE59" s="30">
        <f>Control!$C$8+DE58</f>
        <v/>
      </c>
      <c r="DF59" s="30">
        <f>Control!$C$8+DF58</f>
        <v/>
      </c>
      <c r="DG59" s="30">
        <f>Control!$C$8+DG58</f>
        <v/>
      </c>
      <c r="DH59" s="30">
        <f>Control!$C$8+DH58</f>
        <v/>
      </c>
      <c r="DI59" s="30">
        <f>Control!$C$8+DI58</f>
        <v/>
      </c>
      <c r="DJ59" s="30">
        <f>Control!$C$8+DJ58</f>
        <v/>
      </c>
      <c r="DK59" s="30">
        <f>Control!$C$8+DK58</f>
        <v/>
      </c>
      <c r="DL59" s="30">
        <f>Control!$C$8+DL58</f>
        <v/>
      </c>
      <c r="DM59" s="30">
        <f>Control!$C$8+DM58</f>
        <v/>
      </c>
      <c r="DN59" s="30">
        <f>Control!$C$8+DN58</f>
        <v/>
      </c>
      <c r="DO59" s="30">
        <f>Control!$C$8+DO58</f>
        <v/>
      </c>
      <c r="DP59" s="30">
        <f>Control!$C$8+DP58</f>
        <v/>
      </c>
      <c r="DQ59" s="30">
        <f>Control!$C$8+DQ58</f>
        <v/>
      </c>
      <c r="DR59" s="30">
        <f>Control!$C$8+DR58</f>
        <v/>
      </c>
      <c r="DS59" s="30">
        <f>Control!$C$8+DS58</f>
        <v/>
      </c>
    </row>
    <row r="60">
      <c r="A60" s="2" t="inlineStr">
        <is>
          <t>CF_SHORT</t>
        </is>
      </c>
      <c r="B60" s="6" t="inlineStr">
        <is>
          <t>Shortfall flag (1 = capital exhausted)</t>
        </is>
      </c>
      <c r="C60" s="2" t="inlineStr">
        <is>
          <t>flag</t>
        </is>
      </c>
      <c r="D60" s="28">
        <f>IF(D59&lt;0,1,0)</f>
        <v/>
      </c>
      <c r="E60" s="28">
        <f>IF(E59&lt;0,1,0)</f>
        <v/>
      </c>
      <c r="F60" s="28">
        <f>IF(F59&lt;0,1,0)</f>
        <v/>
      </c>
      <c r="G60" s="28">
        <f>IF(G59&lt;0,1,0)</f>
        <v/>
      </c>
      <c r="H60" s="28">
        <f>IF(H59&lt;0,1,0)</f>
        <v/>
      </c>
      <c r="I60" s="28">
        <f>IF(I59&lt;0,1,0)</f>
        <v/>
      </c>
      <c r="J60" s="28">
        <f>IF(J59&lt;0,1,0)</f>
        <v/>
      </c>
      <c r="K60" s="28">
        <f>IF(K59&lt;0,1,0)</f>
        <v/>
      </c>
      <c r="L60" s="28">
        <f>IF(L59&lt;0,1,0)</f>
        <v/>
      </c>
      <c r="M60" s="28">
        <f>IF(M59&lt;0,1,0)</f>
        <v/>
      </c>
      <c r="N60" s="28">
        <f>IF(N59&lt;0,1,0)</f>
        <v/>
      </c>
      <c r="O60" s="28">
        <f>IF(O59&lt;0,1,0)</f>
        <v/>
      </c>
      <c r="P60" s="28">
        <f>IF(P59&lt;0,1,0)</f>
        <v/>
      </c>
      <c r="Q60" s="28">
        <f>IF(Q59&lt;0,1,0)</f>
        <v/>
      </c>
      <c r="R60" s="28">
        <f>IF(R59&lt;0,1,0)</f>
        <v/>
      </c>
      <c r="S60" s="28">
        <f>IF(S59&lt;0,1,0)</f>
        <v/>
      </c>
      <c r="T60" s="28">
        <f>IF(T59&lt;0,1,0)</f>
        <v/>
      </c>
      <c r="U60" s="28">
        <f>IF(U59&lt;0,1,0)</f>
        <v/>
      </c>
      <c r="V60" s="28">
        <f>IF(V59&lt;0,1,0)</f>
        <v/>
      </c>
      <c r="W60" s="28">
        <f>IF(W59&lt;0,1,0)</f>
        <v/>
      </c>
      <c r="X60" s="28">
        <f>IF(X59&lt;0,1,0)</f>
        <v/>
      </c>
      <c r="Y60" s="28">
        <f>IF(Y59&lt;0,1,0)</f>
        <v/>
      </c>
      <c r="Z60" s="28">
        <f>IF(Z59&lt;0,1,0)</f>
        <v/>
      </c>
      <c r="AA60" s="28">
        <f>IF(AA59&lt;0,1,0)</f>
        <v/>
      </c>
      <c r="AB60" s="28">
        <f>IF(AB59&lt;0,1,0)</f>
        <v/>
      </c>
      <c r="AC60" s="28">
        <f>IF(AC59&lt;0,1,0)</f>
        <v/>
      </c>
      <c r="AD60" s="28">
        <f>IF(AD59&lt;0,1,0)</f>
        <v/>
      </c>
      <c r="AE60" s="28">
        <f>IF(AE59&lt;0,1,0)</f>
        <v/>
      </c>
      <c r="AF60" s="28">
        <f>IF(AF59&lt;0,1,0)</f>
        <v/>
      </c>
      <c r="AG60" s="28">
        <f>IF(AG59&lt;0,1,0)</f>
        <v/>
      </c>
      <c r="AH60" s="28">
        <f>IF(AH59&lt;0,1,0)</f>
        <v/>
      </c>
      <c r="AI60" s="28">
        <f>IF(AI59&lt;0,1,0)</f>
        <v/>
      </c>
      <c r="AJ60" s="28">
        <f>IF(AJ59&lt;0,1,0)</f>
        <v/>
      </c>
      <c r="AK60" s="28">
        <f>IF(AK59&lt;0,1,0)</f>
        <v/>
      </c>
      <c r="AL60" s="28">
        <f>IF(AL59&lt;0,1,0)</f>
        <v/>
      </c>
      <c r="AM60" s="28">
        <f>IF(AM59&lt;0,1,0)</f>
        <v/>
      </c>
      <c r="AN60" s="28">
        <f>IF(AN59&lt;0,1,0)</f>
        <v/>
      </c>
      <c r="AO60" s="28">
        <f>IF(AO59&lt;0,1,0)</f>
        <v/>
      </c>
      <c r="AP60" s="28">
        <f>IF(AP59&lt;0,1,0)</f>
        <v/>
      </c>
      <c r="AQ60" s="28">
        <f>IF(AQ59&lt;0,1,0)</f>
        <v/>
      </c>
      <c r="AR60" s="28">
        <f>IF(AR59&lt;0,1,0)</f>
        <v/>
      </c>
      <c r="AS60" s="28">
        <f>IF(AS59&lt;0,1,0)</f>
        <v/>
      </c>
      <c r="AT60" s="28">
        <f>IF(AT59&lt;0,1,0)</f>
        <v/>
      </c>
      <c r="AU60" s="28">
        <f>IF(AU59&lt;0,1,0)</f>
        <v/>
      </c>
      <c r="AV60" s="28">
        <f>IF(AV59&lt;0,1,0)</f>
        <v/>
      </c>
      <c r="AW60" s="28">
        <f>IF(AW59&lt;0,1,0)</f>
        <v/>
      </c>
      <c r="AX60" s="28">
        <f>IF(AX59&lt;0,1,0)</f>
        <v/>
      </c>
      <c r="AY60" s="28">
        <f>IF(AY59&lt;0,1,0)</f>
        <v/>
      </c>
      <c r="AZ60" s="28">
        <f>IF(AZ59&lt;0,1,0)</f>
        <v/>
      </c>
      <c r="BA60" s="28">
        <f>IF(BA59&lt;0,1,0)</f>
        <v/>
      </c>
      <c r="BB60" s="28">
        <f>IF(BB59&lt;0,1,0)</f>
        <v/>
      </c>
      <c r="BC60" s="28">
        <f>IF(BC59&lt;0,1,0)</f>
        <v/>
      </c>
      <c r="BD60" s="28">
        <f>IF(BD59&lt;0,1,0)</f>
        <v/>
      </c>
      <c r="BE60" s="28">
        <f>IF(BE59&lt;0,1,0)</f>
        <v/>
      </c>
      <c r="BF60" s="28">
        <f>IF(BF59&lt;0,1,0)</f>
        <v/>
      </c>
      <c r="BG60" s="28">
        <f>IF(BG59&lt;0,1,0)</f>
        <v/>
      </c>
      <c r="BH60" s="28">
        <f>IF(BH59&lt;0,1,0)</f>
        <v/>
      </c>
      <c r="BI60" s="28">
        <f>IF(BI59&lt;0,1,0)</f>
        <v/>
      </c>
      <c r="BJ60" s="28">
        <f>IF(BJ59&lt;0,1,0)</f>
        <v/>
      </c>
      <c r="BK60" s="28">
        <f>IF(BK59&lt;0,1,0)</f>
        <v/>
      </c>
      <c r="BL60" s="28">
        <f>IF(BL59&lt;0,1,0)</f>
        <v/>
      </c>
      <c r="BM60" s="28">
        <f>IF(BM59&lt;0,1,0)</f>
        <v/>
      </c>
      <c r="BN60" s="28">
        <f>IF(BN59&lt;0,1,0)</f>
        <v/>
      </c>
      <c r="BO60" s="28">
        <f>IF(BO59&lt;0,1,0)</f>
        <v/>
      </c>
      <c r="BP60" s="28">
        <f>IF(BP59&lt;0,1,0)</f>
        <v/>
      </c>
      <c r="BQ60" s="28">
        <f>IF(BQ59&lt;0,1,0)</f>
        <v/>
      </c>
      <c r="BR60" s="28">
        <f>IF(BR59&lt;0,1,0)</f>
        <v/>
      </c>
      <c r="BS60" s="28">
        <f>IF(BS59&lt;0,1,0)</f>
        <v/>
      </c>
      <c r="BT60" s="28">
        <f>IF(BT59&lt;0,1,0)</f>
        <v/>
      </c>
      <c r="BU60" s="28">
        <f>IF(BU59&lt;0,1,0)</f>
        <v/>
      </c>
      <c r="BV60" s="28">
        <f>IF(BV59&lt;0,1,0)</f>
        <v/>
      </c>
      <c r="BW60" s="28">
        <f>IF(BW59&lt;0,1,0)</f>
        <v/>
      </c>
      <c r="BX60" s="28">
        <f>IF(BX59&lt;0,1,0)</f>
        <v/>
      </c>
      <c r="BY60" s="28">
        <f>IF(BY59&lt;0,1,0)</f>
        <v/>
      </c>
      <c r="BZ60" s="28">
        <f>IF(BZ59&lt;0,1,0)</f>
        <v/>
      </c>
      <c r="CA60" s="28">
        <f>IF(CA59&lt;0,1,0)</f>
        <v/>
      </c>
      <c r="CB60" s="28">
        <f>IF(CB59&lt;0,1,0)</f>
        <v/>
      </c>
      <c r="CC60" s="28">
        <f>IF(CC59&lt;0,1,0)</f>
        <v/>
      </c>
      <c r="CD60" s="28">
        <f>IF(CD59&lt;0,1,0)</f>
        <v/>
      </c>
      <c r="CE60" s="28">
        <f>IF(CE59&lt;0,1,0)</f>
        <v/>
      </c>
      <c r="CF60" s="28">
        <f>IF(CF59&lt;0,1,0)</f>
        <v/>
      </c>
      <c r="CG60" s="28">
        <f>IF(CG59&lt;0,1,0)</f>
        <v/>
      </c>
      <c r="CH60" s="28">
        <f>IF(CH59&lt;0,1,0)</f>
        <v/>
      </c>
      <c r="CI60" s="28">
        <f>IF(CI59&lt;0,1,0)</f>
        <v/>
      </c>
      <c r="CJ60" s="28">
        <f>IF(CJ59&lt;0,1,0)</f>
        <v/>
      </c>
      <c r="CK60" s="28">
        <f>IF(CK59&lt;0,1,0)</f>
        <v/>
      </c>
      <c r="CL60" s="28">
        <f>IF(CL59&lt;0,1,0)</f>
        <v/>
      </c>
      <c r="CM60" s="28">
        <f>IF(CM59&lt;0,1,0)</f>
        <v/>
      </c>
      <c r="CN60" s="28">
        <f>IF(CN59&lt;0,1,0)</f>
        <v/>
      </c>
      <c r="CO60" s="28">
        <f>IF(CO59&lt;0,1,0)</f>
        <v/>
      </c>
      <c r="CP60" s="28">
        <f>IF(CP59&lt;0,1,0)</f>
        <v/>
      </c>
      <c r="CQ60" s="28">
        <f>IF(CQ59&lt;0,1,0)</f>
        <v/>
      </c>
      <c r="CR60" s="28">
        <f>IF(CR59&lt;0,1,0)</f>
        <v/>
      </c>
      <c r="CS60" s="28">
        <f>IF(CS59&lt;0,1,0)</f>
        <v/>
      </c>
      <c r="CT60" s="28">
        <f>IF(CT59&lt;0,1,0)</f>
        <v/>
      </c>
      <c r="CU60" s="28">
        <f>IF(CU59&lt;0,1,0)</f>
        <v/>
      </c>
      <c r="CV60" s="28">
        <f>IF(CV59&lt;0,1,0)</f>
        <v/>
      </c>
      <c r="CW60" s="28">
        <f>IF(CW59&lt;0,1,0)</f>
        <v/>
      </c>
      <c r="CX60" s="28">
        <f>IF(CX59&lt;0,1,0)</f>
        <v/>
      </c>
      <c r="CY60" s="28">
        <f>IF(CY59&lt;0,1,0)</f>
        <v/>
      </c>
      <c r="CZ60" s="28">
        <f>IF(CZ59&lt;0,1,0)</f>
        <v/>
      </c>
      <c r="DA60" s="28">
        <f>IF(DA59&lt;0,1,0)</f>
        <v/>
      </c>
      <c r="DB60" s="28">
        <f>IF(DB59&lt;0,1,0)</f>
        <v/>
      </c>
      <c r="DC60" s="28">
        <f>IF(DC59&lt;0,1,0)</f>
        <v/>
      </c>
      <c r="DD60" s="28">
        <f>IF(DD59&lt;0,1,0)</f>
        <v/>
      </c>
      <c r="DE60" s="28">
        <f>IF(DE59&lt;0,1,0)</f>
        <v/>
      </c>
      <c r="DF60" s="28">
        <f>IF(DF59&lt;0,1,0)</f>
        <v/>
      </c>
      <c r="DG60" s="28">
        <f>IF(DG59&lt;0,1,0)</f>
        <v/>
      </c>
      <c r="DH60" s="28">
        <f>IF(DH59&lt;0,1,0)</f>
        <v/>
      </c>
      <c r="DI60" s="28">
        <f>IF(DI59&lt;0,1,0)</f>
        <v/>
      </c>
      <c r="DJ60" s="28">
        <f>IF(DJ59&lt;0,1,0)</f>
        <v/>
      </c>
      <c r="DK60" s="28">
        <f>IF(DK59&lt;0,1,0)</f>
        <v/>
      </c>
      <c r="DL60" s="28">
        <f>IF(DL59&lt;0,1,0)</f>
        <v/>
      </c>
      <c r="DM60" s="28">
        <f>IF(DM59&lt;0,1,0)</f>
        <v/>
      </c>
      <c r="DN60" s="28">
        <f>IF(DN59&lt;0,1,0)</f>
        <v/>
      </c>
      <c r="DO60" s="28">
        <f>IF(DO59&lt;0,1,0)</f>
        <v/>
      </c>
      <c r="DP60" s="28">
        <f>IF(DP59&lt;0,1,0)</f>
        <v/>
      </c>
      <c r="DQ60" s="28">
        <f>IF(DQ59&lt;0,1,0)</f>
        <v/>
      </c>
      <c r="DR60" s="28">
        <f>IF(DR59&lt;0,1,0)</f>
        <v/>
      </c>
      <c r="DS60" s="28">
        <f>IF(DS59&lt;0,1,0)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Annual</t>
        </is>
      </c>
    </row>
    <row r="2">
      <c r="A2" s="2" t="inlineStr">
        <is>
          <t>Ten farm years: profit and loss (accrual) and cash flow (pre-financing). Real RWF.</t>
        </is>
      </c>
    </row>
    <row r="3">
      <c r="B3" s="3" t="inlineStr">
        <is>
          <t>Farm year</t>
        </is>
      </c>
      <c r="D3" s="27" t="n">
        <v>1</v>
      </c>
      <c r="E3" s="27" t="n">
        <v>2</v>
      </c>
      <c r="F3" s="27" t="n">
        <v>3</v>
      </c>
      <c r="G3" s="27" t="n">
        <v>4</v>
      </c>
      <c r="H3" s="27" t="n">
        <v>5</v>
      </c>
      <c r="I3" s="27" t="n">
        <v>6</v>
      </c>
      <c r="J3" s="27" t="n">
        <v>7</v>
      </c>
      <c r="K3" s="27" t="n">
        <v>8</v>
      </c>
      <c r="L3" s="27" t="n">
        <v>9</v>
      </c>
      <c r="M3" s="27" t="n">
        <v>10</v>
      </c>
    </row>
    <row r="5">
      <c r="A5" s="11" t="n"/>
      <c r="B5" s="12" t="inlineStr">
        <is>
          <t>Revenue</t>
        </is>
      </c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2" t="inlineStr">
        <is>
          <t>AN_CF_AVO</t>
        </is>
      </c>
      <c r="B6" s="6" t="inlineStr">
        <is>
          <t>Fruit: Avocado (grafted)</t>
        </is>
      </c>
      <c r="C6" s="2" t="inlineStr">
        <is>
          <t>RWF</t>
        </is>
      </c>
      <c r="D6" s="25">
        <f>SUMIF(CashFlow!$D$4:$DS$4,D$3,CashFlow!$D$9:$DS$9)</f>
        <v/>
      </c>
      <c r="E6" s="25">
        <f>SUMIF(CashFlow!$D$4:$DS$4,E$3,CashFlow!$D$9:$DS$9)</f>
        <v/>
      </c>
      <c r="F6" s="25">
        <f>SUMIF(CashFlow!$D$4:$DS$4,F$3,CashFlow!$D$9:$DS$9)</f>
        <v/>
      </c>
      <c r="G6" s="25">
        <f>SUMIF(CashFlow!$D$4:$DS$4,G$3,CashFlow!$D$9:$DS$9)</f>
        <v/>
      </c>
      <c r="H6" s="25">
        <f>SUMIF(CashFlow!$D$4:$DS$4,H$3,CashFlow!$D$9:$DS$9)</f>
        <v/>
      </c>
      <c r="I6" s="25">
        <f>SUMIF(CashFlow!$D$4:$DS$4,I$3,CashFlow!$D$9:$DS$9)</f>
        <v/>
      </c>
      <c r="J6" s="25">
        <f>SUMIF(CashFlow!$D$4:$DS$4,J$3,CashFlow!$D$9:$DS$9)</f>
        <v/>
      </c>
      <c r="K6" s="25">
        <f>SUMIF(CashFlow!$D$4:$DS$4,K$3,CashFlow!$D$9:$DS$9)</f>
        <v/>
      </c>
      <c r="L6" s="25">
        <f>SUMIF(CashFlow!$D$4:$DS$4,L$3,CashFlow!$D$9:$DS$9)</f>
        <v/>
      </c>
      <c r="M6" s="25">
        <f>SUMIF(CashFlow!$D$4:$DS$4,M$3,CashFlow!$D$9:$DS$9)</f>
        <v/>
      </c>
    </row>
    <row r="7">
      <c r="A7" s="2" t="inlineStr">
        <is>
          <t>AN_CF_MAN</t>
        </is>
      </c>
      <c r="B7" s="6" t="inlineStr">
        <is>
          <t>Fruit: Mango (grafted)</t>
        </is>
      </c>
      <c r="C7" s="2" t="inlineStr">
        <is>
          <t>RWF</t>
        </is>
      </c>
      <c r="D7" s="25">
        <f>SUMIF(CashFlow!$D$4:$DS$4,D$3,CashFlow!$D$10:$DS$10)</f>
        <v/>
      </c>
      <c r="E7" s="25">
        <f>SUMIF(CashFlow!$D$4:$DS$4,E$3,CashFlow!$D$10:$DS$10)</f>
        <v/>
      </c>
      <c r="F7" s="25">
        <f>SUMIF(CashFlow!$D$4:$DS$4,F$3,CashFlow!$D$10:$DS$10)</f>
        <v/>
      </c>
      <c r="G7" s="25">
        <f>SUMIF(CashFlow!$D$4:$DS$4,G$3,CashFlow!$D$10:$DS$10)</f>
        <v/>
      </c>
      <c r="H7" s="25">
        <f>SUMIF(CashFlow!$D$4:$DS$4,H$3,CashFlow!$D$10:$DS$10)</f>
        <v/>
      </c>
      <c r="I7" s="25">
        <f>SUMIF(CashFlow!$D$4:$DS$4,I$3,CashFlow!$D$10:$DS$10)</f>
        <v/>
      </c>
      <c r="J7" s="25">
        <f>SUMIF(CashFlow!$D$4:$DS$4,J$3,CashFlow!$D$10:$DS$10)</f>
        <v/>
      </c>
      <c r="K7" s="25">
        <f>SUMIF(CashFlow!$D$4:$DS$4,K$3,CashFlow!$D$10:$DS$10)</f>
        <v/>
      </c>
      <c r="L7" s="25">
        <f>SUMIF(CashFlow!$D$4:$DS$4,L$3,CashFlow!$D$10:$DS$10)</f>
        <v/>
      </c>
      <c r="M7" s="25">
        <f>SUMIF(CashFlow!$D$4:$DS$4,M$3,CashFlow!$D$10:$DS$10)</f>
        <v/>
      </c>
    </row>
    <row r="8">
      <c r="A8" s="2" t="inlineStr">
        <is>
          <t>AN_CF_PAS</t>
        </is>
      </c>
      <c r="B8" s="6" t="inlineStr">
        <is>
          <t>Fruit: Passion fruit</t>
        </is>
      </c>
      <c r="C8" s="2" t="inlineStr">
        <is>
          <t>RWF</t>
        </is>
      </c>
      <c r="D8" s="25">
        <f>SUMIF(CashFlow!$D$4:$DS$4,D$3,CashFlow!$D$11:$DS$11)</f>
        <v/>
      </c>
      <c r="E8" s="25">
        <f>SUMIF(CashFlow!$D$4:$DS$4,E$3,CashFlow!$D$11:$DS$11)</f>
        <v/>
      </c>
      <c r="F8" s="25">
        <f>SUMIF(CashFlow!$D$4:$DS$4,F$3,CashFlow!$D$11:$DS$11)</f>
        <v/>
      </c>
      <c r="G8" s="25">
        <f>SUMIF(CashFlow!$D$4:$DS$4,G$3,CashFlow!$D$11:$DS$11)</f>
        <v/>
      </c>
      <c r="H8" s="25">
        <f>SUMIF(CashFlow!$D$4:$DS$4,H$3,CashFlow!$D$11:$DS$11)</f>
        <v/>
      </c>
      <c r="I8" s="25">
        <f>SUMIF(CashFlow!$D$4:$DS$4,I$3,CashFlow!$D$11:$DS$11)</f>
        <v/>
      </c>
      <c r="J8" s="25">
        <f>SUMIF(CashFlow!$D$4:$DS$4,J$3,CashFlow!$D$11:$DS$11)</f>
        <v/>
      </c>
      <c r="K8" s="25">
        <f>SUMIF(CashFlow!$D$4:$DS$4,K$3,CashFlow!$D$11:$DS$11)</f>
        <v/>
      </c>
      <c r="L8" s="25">
        <f>SUMIF(CashFlow!$D$4:$DS$4,L$3,CashFlow!$D$11:$DS$11)</f>
        <v/>
      </c>
      <c r="M8" s="25">
        <f>SUMIF(CashFlow!$D$4:$DS$4,M$3,CashFlow!$D$11:$DS$11)</f>
        <v/>
      </c>
    </row>
    <row r="9">
      <c r="A9" s="2" t="inlineStr">
        <is>
          <t>AN_CF_PAP</t>
        </is>
      </c>
      <c r="B9" s="6" t="inlineStr">
        <is>
          <t>Fruit: Papaya</t>
        </is>
      </c>
      <c r="C9" s="2" t="inlineStr">
        <is>
          <t>RWF</t>
        </is>
      </c>
      <c r="D9" s="25">
        <f>SUMIF(CashFlow!$D$4:$DS$4,D$3,CashFlow!$D$12:$DS$12)</f>
        <v/>
      </c>
      <c r="E9" s="25">
        <f>SUMIF(CashFlow!$D$4:$DS$4,E$3,CashFlow!$D$12:$DS$12)</f>
        <v/>
      </c>
      <c r="F9" s="25">
        <f>SUMIF(CashFlow!$D$4:$DS$4,F$3,CashFlow!$D$12:$DS$12)</f>
        <v/>
      </c>
      <c r="G9" s="25">
        <f>SUMIF(CashFlow!$D$4:$DS$4,G$3,CashFlow!$D$12:$DS$12)</f>
        <v/>
      </c>
      <c r="H9" s="25">
        <f>SUMIF(CashFlow!$D$4:$DS$4,H$3,CashFlow!$D$12:$DS$12)</f>
        <v/>
      </c>
      <c r="I9" s="25">
        <f>SUMIF(CashFlow!$D$4:$DS$4,I$3,CashFlow!$D$12:$DS$12)</f>
        <v/>
      </c>
      <c r="J9" s="25">
        <f>SUMIF(CashFlow!$D$4:$DS$4,J$3,CashFlow!$D$12:$DS$12)</f>
        <v/>
      </c>
      <c r="K9" s="25">
        <f>SUMIF(CashFlow!$D$4:$DS$4,K$3,CashFlow!$D$12:$DS$12)</f>
        <v/>
      </c>
      <c r="L9" s="25">
        <f>SUMIF(CashFlow!$D$4:$DS$4,L$3,CashFlow!$D$12:$DS$12)</f>
        <v/>
      </c>
      <c r="M9" s="25">
        <f>SUMIF(CashFlow!$D$4:$DS$4,M$3,CashFlow!$D$12:$DS$12)</f>
        <v/>
      </c>
    </row>
    <row r="10">
      <c r="A10" s="2" t="inlineStr">
        <is>
          <t>AN_CF_TTO</t>
        </is>
      </c>
      <c r="B10" s="6" t="inlineStr">
        <is>
          <t>Fruit: Tree tomato</t>
        </is>
      </c>
      <c r="C10" s="2" t="inlineStr">
        <is>
          <t>RWF</t>
        </is>
      </c>
      <c r="D10" s="25">
        <f>SUMIF(CashFlow!$D$4:$DS$4,D$3,CashFlow!$D$13:$DS$13)</f>
        <v/>
      </c>
      <c r="E10" s="25">
        <f>SUMIF(CashFlow!$D$4:$DS$4,E$3,CashFlow!$D$13:$DS$13)</f>
        <v/>
      </c>
      <c r="F10" s="25">
        <f>SUMIF(CashFlow!$D$4:$DS$4,F$3,CashFlow!$D$13:$DS$13)</f>
        <v/>
      </c>
      <c r="G10" s="25">
        <f>SUMIF(CashFlow!$D$4:$DS$4,G$3,CashFlow!$D$13:$DS$13)</f>
        <v/>
      </c>
      <c r="H10" s="25">
        <f>SUMIF(CashFlow!$D$4:$DS$4,H$3,CashFlow!$D$13:$DS$13)</f>
        <v/>
      </c>
      <c r="I10" s="25">
        <f>SUMIF(CashFlow!$D$4:$DS$4,I$3,CashFlow!$D$13:$DS$13)</f>
        <v/>
      </c>
      <c r="J10" s="25">
        <f>SUMIF(CashFlow!$D$4:$DS$4,J$3,CashFlow!$D$13:$DS$13)</f>
        <v/>
      </c>
      <c r="K10" s="25">
        <f>SUMIF(CashFlow!$D$4:$DS$4,K$3,CashFlow!$D$13:$DS$13)</f>
        <v/>
      </c>
      <c r="L10" s="25">
        <f>SUMIF(CashFlow!$D$4:$DS$4,L$3,CashFlow!$D$13:$DS$13)</f>
        <v/>
      </c>
      <c r="M10" s="25">
        <f>SUMIF(CashFlow!$D$4:$DS$4,M$3,CashFlow!$D$13:$DS$13)</f>
        <v/>
      </c>
    </row>
    <row r="11">
      <c r="A11" s="2" t="inlineStr">
        <is>
          <t>AN_CF_CIT</t>
        </is>
      </c>
      <c r="B11" s="6" t="inlineStr">
        <is>
          <t>Fruit: Citrus</t>
        </is>
      </c>
      <c r="C11" s="2" t="inlineStr">
        <is>
          <t>RWF</t>
        </is>
      </c>
      <c r="D11" s="25">
        <f>SUMIF(CashFlow!$D$4:$DS$4,D$3,CashFlow!$D$14:$DS$14)</f>
        <v/>
      </c>
      <c r="E11" s="25">
        <f>SUMIF(CashFlow!$D$4:$DS$4,E$3,CashFlow!$D$14:$DS$14)</f>
        <v/>
      </c>
      <c r="F11" s="25">
        <f>SUMIF(CashFlow!$D$4:$DS$4,F$3,CashFlow!$D$14:$DS$14)</f>
        <v/>
      </c>
      <c r="G11" s="25">
        <f>SUMIF(CashFlow!$D$4:$DS$4,G$3,CashFlow!$D$14:$DS$14)</f>
        <v/>
      </c>
      <c r="H11" s="25">
        <f>SUMIF(CashFlow!$D$4:$DS$4,H$3,CashFlow!$D$14:$DS$14)</f>
        <v/>
      </c>
      <c r="I11" s="25">
        <f>SUMIF(CashFlow!$D$4:$DS$4,I$3,CashFlow!$D$14:$DS$14)</f>
        <v/>
      </c>
      <c r="J11" s="25">
        <f>SUMIF(CashFlow!$D$4:$DS$4,J$3,CashFlow!$D$14:$DS$14)</f>
        <v/>
      </c>
      <c r="K11" s="25">
        <f>SUMIF(CashFlow!$D$4:$DS$4,K$3,CashFlow!$D$14:$DS$14)</f>
        <v/>
      </c>
      <c r="L11" s="25">
        <f>SUMIF(CashFlow!$D$4:$DS$4,L$3,CashFlow!$D$14:$DS$14)</f>
        <v/>
      </c>
      <c r="M11" s="25">
        <f>SUMIF(CashFlow!$D$4:$DS$4,M$3,CashFlow!$D$14:$DS$14)</f>
        <v/>
      </c>
    </row>
    <row r="12">
      <c r="A12" s="2" t="inlineStr">
        <is>
          <t>AN_CF_MAC</t>
        </is>
      </c>
      <c r="B12" s="6" t="inlineStr">
        <is>
          <t>Fruit: Macadamia (nut in shell)</t>
        </is>
      </c>
      <c r="C12" s="2" t="inlineStr">
        <is>
          <t>RWF</t>
        </is>
      </c>
      <c r="D12" s="25">
        <f>SUMIF(CashFlow!$D$4:$DS$4,D$3,CashFlow!$D$15:$DS$15)</f>
        <v/>
      </c>
      <c r="E12" s="25">
        <f>SUMIF(CashFlow!$D$4:$DS$4,E$3,CashFlow!$D$15:$DS$15)</f>
        <v/>
      </c>
      <c r="F12" s="25">
        <f>SUMIF(CashFlow!$D$4:$DS$4,F$3,CashFlow!$D$15:$DS$15)</f>
        <v/>
      </c>
      <c r="G12" s="25">
        <f>SUMIF(CashFlow!$D$4:$DS$4,G$3,CashFlow!$D$15:$DS$15)</f>
        <v/>
      </c>
      <c r="H12" s="25">
        <f>SUMIF(CashFlow!$D$4:$DS$4,H$3,CashFlow!$D$15:$DS$15)</f>
        <v/>
      </c>
      <c r="I12" s="25">
        <f>SUMIF(CashFlow!$D$4:$DS$4,I$3,CashFlow!$D$15:$DS$15)</f>
        <v/>
      </c>
      <c r="J12" s="25">
        <f>SUMIF(CashFlow!$D$4:$DS$4,J$3,CashFlow!$D$15:$DS$15)</f>
        <v/>
      </c>
      <c r="K12" s="25">
        <f>SUMIF(CashFlow!$D$4:$DS$4,K$3,CashFlow!$D$15:$DS$15)</f>
        <v/>
      </c>
      <c r="L12" s="25">
        <f>SUMIF(CashFlow!$D$4:$DS$4,L$3,CashFlow!$D$15:$DS$15)</f>
        <v/>
      </c>
      <c r="M12" s="25">
        <f>SUMIF(CashFlow!$D$4:$DS$4,M$3,CashFlow!$D$15:$DS$15)</f>
        <v/>
      </c>
    </row>
    <row r="13">
      <c r="A13" s="2" t="inlineStr">
        <is>
          <t>AN_CF_TIM</t>
        </is>
      </c>
      <c r="B13" s="6" t="inlineStr">
        <is>
          <t>Boundary poles</t>
        </is>
      </c>
      <c r="C13" s="2" t="inlineStr">
        <is>
          <t>RWF</t>
        </is>
      </c>
      <c r="D13" s="25">
        <f>SUMIF(CashFlow!$D$4:$DS$4,D$3,CashFlow!$D$16:$DS$16)</f>
        <v/>
      </c>
      <c r="E13" s="25">
        <f>SUMIF(CashFlow!$D$4:$DS$4,E$3,CashFlow!$D$16:$DS$16)</f>
        <v/>
      </c>
      <c r="F13" s="25">
        <f>SUMIF(CashFlow!$D$4:$DS$4,F$3,CashFlow!$D$16:$DS$16)</f>
        <v/>
      </c>
      <c r="G13" s="25">
        <f>SUMIF(CashFlow!$D$4:$DS$4,G$3,CashFlow!$D$16:$DS$16)</f>
        <v/>
      </c>
      <c r="H13" s="25">
        <f>SUMIF(CashFlow!$D$4:$DS$4,H$3,CashFlow!$D$16:$DS$16)</f>
        <v/>
      </c>
      <c r="I13" s="25">
        <f>SUMIF(CashFlow!$D$4:$DS$4,I$3,CashFlow!$D$16:$DS$16)</f>
        <v/>
      </c>
      <c r="J13" s="25">
        <f>SUMIF(CashFlow!$D$4:$DS$4,J$3,CashFlow!$D$16:$DS$16)</f>
        <v/>
      </c>
      <c r="K13" s="25">
        <f>SUMIF(CashFlow!$D$4:$DS$4,K$3,CashFlow!$D$16:$DS$16)</f>
        <v/>
      </c>
      <c r="L13" s="25">
        <f>SUMIF(CashFlow!$D$4:$DS$4,L$3,CashFlow!$D$16:$DS$16)</f>
        <v/>
      </c>
      <c r="M13" s="25">
        <f>SUMIF(CashFlow!$D$4:$DS$4,M$3,CashFlow!$D$16:$DS$16)</f>
        <v/>
      </c>
    </row>
    <row r="14">
      <c r="A14" s="2" t="inlineStr">
        <is>
          <t>AN_CF_GT_Y</t>
        </is>
      </c>
      <c r="B14" s="6" t="inlineStr">
        <is>
          <t>Goats: young stock</t>
        </is>
      </c>
      <c r="C14" s="2" t="inlineStr">
        <is>
          <t>RWF</t>
        </is>
      </c>
      <c r="D14" s="25">
        <f>SUMIF(CashFlow!$D$4:$DS$4,D$3,CashFlow!$D$17:$DS$17)</f>
        <v/>
      </c>
      <c r="E14" s="25">
        <f>SUMIF(CashFlow!$D$4:$DS$4,E$3,CashFlow!$D$17:$DS$17)</f>
        <v/>
      </c>
      <c r="F14" s="25">
        <f>SUMIF(CashFlow!$D$4:$DS$4,F$3,CashFlow!$D$17:$DS$17)</f>
        <v/>
      </c>
      <c r="G14" s="25">
        <f>SUMIF(CashFlow!$D$4:$DS$4,G$3,CashFlow!$D$17:$DS$17)</f>
        <v/>
      </c>
      <c r="H14" s="25">
        <f>SUMIF(CashFlow!$D$4:$DS$4,H$3,CashFlow!$D$17:$DS$17)</f>
        <v/>
      </c>
      <c r="I14" s="25">
        <f>SUMIF(CashFlow!$D$4:$DS$4,I$3,CashFlow!$D$17:$DS$17)</f>
        <v/>
      </c>
      <c r="J14" s="25">
        <f>SUMIF(CashFlow!$D$4:$DS$4,J$3,CashFlow!$D$17:$DS$17)</f>
        <v/>
      </c>
      <c r="K14" s="25">
        <f>SUMIF(CashFlow!$D$4:$DS$4,K$3,CashFlow!$D$17:$DS$17)</f>
        <v/>
      </c>
      <c r="L14" s="25">
        <f>SUMIF(CashFlow!$D$4:$DS$4,L$3,CashFlow!$D$17:$DS$17)</f>
        <v/>
      </c>
      <c r="M14" s="25">
        <f>SUMIF(CashFlow!$D$4:$DS$4,M$3,CashFlow!$D$17:$DS$17)</f>
        <v/>
      </c>
    </row>
    <row r="15">
      <c r="A15" s="2" t="inlineStr">
        <is>
          <t>AN_CF_GT_C</t>
        </is>
      </c>
      <c r="B15" s="6" t="inlineStr">
        <is>
          <t>Goats: culled adults</t>
        </is>
      </c>
      <c r="C15" s="2" t="inlineStr">
        <is>
          <t>RWF</t>
        </is>
      </c>
      <c r="D15" s="25">
        <f>SUMIF(CashFlow!$D$4:$DS$4,D$3,CashFlow!$D$18:$DS$18)</f>
        <v/>
      </c>
      <c r="E15" s="25">
        <f>SUMIF(CashFlow!$D$4:$DS$4,E$3,CashFlow!$D$18:$DS$18)</f>
        <v/>
      </c>
      <c r="F15" s="25">
        <f>SUMIF(CashFlow!$D$4:$DS$4,F$3,CashFlow!$D$18:$DS$18)</f>
        <v/>
      </c>
      <c r="G15" s="25">
        <f>SUMIF(CashFlow!$D$4:$DS$4,G$3,CashFlow!$D$18:$DS$18)</f>
        <v/>
      </c>
      <c r="H15" s="25">
        <f>SUMIF(CashFlow!$D$4:$DS$4,H$3,CashFlow!$D$18:$DS$18)</f>
        <v/>
      </c>
      <c r="I15" s="25">
        <f>SUMIF(CashFlow!$D$4:$DS$4,I$3,CashFlow!$D$18:$DS$18)</f>
        <v/>
      </c>
      <c r="J15" s="25">
        <f>SUMIF(CashFlow!$D$4:$DS$4,J$3,CashFlow!$D$18:$DS$18)</f>
        <v/>
      </c>
      <c r="K15" s="25">
        <f>SUMIF(CashFlow!$D$4:$DS$4,K$3,CashFlow!$D$18:$DS$18)</f>
        <v/>
      </c>
      <c r="L15" s="25">
        <f>SUMIF(CashFlow!$D$4:$DS$4,L$3,CashFlow!$D$18:$DS$18)</f>
        <v/>
      </c>
      <c r="M15" s="25">
        <f>SUMIF(CashFlow!$D$4:$DS$4,M$3,CashFlow!$D$18:$DS$18)</f>
        <v/>
      </c>
    </row>
    <row r="16">
      <c r="A16" s="2" t="inlineStr">
        <is>
          <t>AN_CF_SH_Y</t>
        </is>
      </c>
      <c r="B16" s="6" t="inlineStr">
        <is>
          <t>Sheep: young stock</t>
        </is>
      </c>
      <c r="C16" s="2" t="inlineStr">
        <is>
          <t>RWF</t>
        </is>
      </c>
      <c r="D16" s="25">
        <f>SUMIF(CashFlow!$D$4:$DS$4,D$3,CashFlow!$D$19:$DS$19)</f>
        <v/>
      </c>
      <c r="E16" s="25">
        <f>SUMIF(CashFlow!$D$4:$DS$4,E$3,CashFlow!$D$19:$DS$19)</f>
        <v/>
      </c>
      <c r="F16" s="25">
        <f>SUMIF(CashFlow!$D$4:$DS$4,F$3,CashFlow!$D$19:$DS$19)</f>
        <v/>
      </c>
      <c r="G16" s="25">
        <f>SUMIF(CashFlow!$D$4:$DS$4,G$3,CashFlow!$D$19:$DS$19)</f>
        <v/>
      </c>
      <c r="H16" s="25">
        <f>SUMIF(CashFlow!$D$4:$DS$4,H$3,CashFlow!$D$19:$DS$19)</f>
        <v/>
      </c>
      <c r="I16" s="25">
        <f>SUMIF(CashFlow!$D$4:$DS$4,I$3,CashFlow!$D$19:$DS$19)</f>
        <v/>
      </c>
      <c r="J16" s="25">
        <f>SUMIF(CashFlow!$D$4:$DS$4,J$3,CashFlow!$D$19:$DS$19)</f>
        <v/>
      </c>
      <c r="K16" s="25">
        <f>SUMIF(CashFlow!$D$4:$DS$4,K$3,CashFlow!$D$19:$DS$19)</f>
        <v/>
      </c>
      <c r="L16" s="25">
        <f>SUMIF(CashFlow!$D$4:$DS$4,L$3,CashFlow!$D$19:$DS$19)</f>
        <v/>
      </c>
      <c r="M16" s="25">
        <f>SUMIF(CashFlow!$D$4:$DS$4,M$3,CashFlow!$D$19:$DS$19)</f>
        <v/>
      </c>
    </row>
    <row r="17">
      <c r="A17" s="2" t="inlineStr">
        <is>
          <t>AN_CF_SH_C</t>
        </is>
      </c>
      <c r="B17" s="6" t="inlineStr">
        <is>
          <t>Sheep: culled adults</t>
        </is>
      </c>
      <c r="C17" s="2" t="inlineStr">
        <is>
          <t>RWF</t>
        </is>
      </c>
      <c r="D17" s="25">
        <f>SUMIF(CashFlow!$D$4:$DS$4,D$3,CashFlow!$D$20:$DS$20)</f>
        <v/>
      </c>
      <c r="E17" s="25">
        <f>SUMIF(CashFlow!$D$4:$DS$4,E$3,CashFlow!$D$20:$DS$20)</f>
        <v/>
      </c>
      <c r="F17" s="25">
        <f>SUMIF(CashFlow!$D$4:$DS$4,F$3,CashFlow!$D$20:$DS$20)</f>
        <v/>
      </c>
      <c r="G17" s="25">
        <f>SUMIF(CashFlow!$D$4:$DS$4,G$3,CashFlow!$D$20:$DS$20)</f>
        <v/>
      </c>
      <c r="H17" s="25">
        <f>SUMIF(CashFlow!$D$4:$DS$4,H$3,CashFlow!$D$20:$DS$20)</f>
        <v/>
      </c>
      <c r="I17" s="25">
        <f>SUMIF(CashFlow!$D$4:$DS$4,I$3,CashFlow!$D$20:$DS$20)</f>
        <v/>
      </c>
      <c r="J17" s="25">
        <f>SUMIF(CashFlow!$D$4:$DS$4,J$3,CashFlow!$D$20:$DS$20)</f>
        <v/>
      </c>
      <c r="K17" s="25">
        <f>SUMIF(CashFlow!$D$4:$DS$4,K$3,CashFlow!$D$20:$DS$20)</f>
        <v/>
      </c>
      <c r="L17" s="25">
        <f>SUMIF(CashFlow!$D$4:$DS$4,L$3,CashFlow!$D$20:$DS$20)</f>
        <v/>
      </c>
      <c r="M17" s="25">
        <f>SUMIF(CashFlow!$D$4:$DS$4,M$3,CashFlow!$D$20:$DS$20)</f>
        <v/>
      </c>
    </row>
    <row r="18">
      <c r="A18" s="2" t="inlineStr">
        <is>
          <t>AN_REV</t>
        </is>
      </c>
      <c r="B18" s="3" t="inlineStr">
        <is>
          <t>Total revenue</t>
        </is>
      </c>
      <c r="C18" s="2" t="inlineStr">
        <is>
          <t>RWF</t>
        </is>
      </c>
      <c r="D18" s="37">
        <f>SUM(D6:D17)</f>
        <v/>
      </c>
      <c r="E18" s="37">
        <f>SUM(E6:E17)</f>
        <v/>
      </c>
      <c r="F18" s="37">
        <f>SUM(F6:F17)</f>
        <v/>
      </c>
      <c r="G18" s="37">
        <f>SUM(G6:G17)</f>
        <v/>
      </c>
      <c r="H18" s="37">
        <f>SUM(H6:H17)</f>
        <v/>
      </c>
      <c r="I18" s="37">
        <f>SUM(I6:I17)</f>
        <v/>
      </c>
      <c r="J18" s="37">
        <f>SUM(J6:J17)</f>
        <v/>
      </c>
      <c r="K18" s="37">
        <f>SUM(K6:K17)</f>
        <v/>
      </c>
      <c r="L18" s="37">
        <f>SUM(L6:L17)</f>
        <v/>
      </c>
      <c r="M18" s="37">
        <f>SUM(M6:M17)</f>
        <v/>
      </c>
    </row>
    <row r="20">
      <c r="A20" s="11" t="n"/>
      <c r="B20" s="12" t="inlineStr">
        <is>
          <t>Direct costs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2" t="inlineStr">
        <is>
          <t>AN_CF_FEED</t>
        </is>
      </c>
      <c r="B21" s="6" t="inlineStr">
        <is>
          <t>Feed bought</t>
        </is>
      </c>
      <c r="C21" s="2" t="inlineStr">
        <is>
          <t>RWF</t>
        </is>
      </c>
      <c r="D21" s="25">
        <f>SUMIF(CashFlow!$D$4:$DS$4,D$3,CashFlow!$D$31:$DS$31)</f>
        <v/>
      </c>
      <c r="E21" s="25">
        <f>SUMIF(CashFlow!$D$4:$DS$4,E$3,CashFlow!$D$31:$DS$31)</f>
        <v/>
      </c>
      <c r="F21" s="25">
        <f>SUMIF(CashFlow!$D$4:$DS$4,F$3,CashFlow!$D$31:$DS$31)</f>
        <v/>
      </c>
      <c r="G21" s="25">
        <f>SUMIF(CashFlow!$D$4:$DS$4,G$3,CashFlow!$D$31:$DS$31)</f>
        <v/>
      </c>
      <c r="H21" s="25">
        <f>SUMIF(CashFlow!$D$4:$DS$4,H$3,CashFlow!$D$31:$DS$31)</f>
        <v/>
      </c>
      <c r="I21" s="25">
        <f>SUMIF(CashFlow!$D$4:$DS$4,I$3,CashFlow!$D$31:$DS$31)</f>
        <v/>
      </c>
      <c r="J21" s="25">
        <f>SUMIF(CashFlow!$D$4:$DS$4,J$3,CashFlow!$D$31:$DS$31)</f>
        <v/>
      </c>
      <c r="K21" s="25">
        <f>SUMIF(CashFlow!$D$4:$DS$4,K$3,CashFlow!$D$31:$DS$31)</f>
        <v/>
      </c>
      <c r="L21" s="25">
        <f>SUMIF(CashFlow!$D$4:$DS$4,L$3,CashFlow!$D$31:$DS$31)</f>
        <v/>
      </c>
      <c r="M21" s="25">
        <f>SUMIF(CashFlow!$D$4:$DS$4,M$3,CashFlow!$D$31:$DS$31)</f>
        <v/>
      </c>
    </row>
    <row r="22">
      <c r="A22" s="2" t="inlineStr">
        <is>
          <t>AN_CF_CONS</t>
        </is>
      </c>
      <c r="B22" s="6" t="inlineStr">
        <is>
          <t>Hay/silage conservation</t>
        </is>
      </c>
      <c r="C22" s="2" t="inlineStr">
        <is>
          <t>RWF</t>
        </is>
      </c>
      <c r="D22" s="25">
        <f>SUMIF(CashFlow!$D$4:$DS$4,D$3,CashFlow!$D$32:$DS$32)</f>
        <v/>
      </c>
      <c r="E22" s="25">
        <f>SUMIF(CashFlow!$D$4:$DS$4,E$3,CashFlow!$D$32:$DS$32)</f>
        <v/>
      </c>
      <c r="F22" s="25">
        <f>SUMIF(CashFlow!$D$4:$DS$4,F$3,CashFlow!$D$32:$DS$32)</f>
        <v/>
      </c>
      <c r="G22" s="25">
        <f>SUMIF(CashFlow!$D$4:$DS$4,G$3,CashFlow!$D$32:$DS$32)</f>
        <v/>
      </c>
      <c r="H22" s="25">
        <f>SUMIF(CashFlow!$D$4:$DS$4,H$3,CashFlow!$D$32:$DS$32)</f>
        <v/>
      </c>
      <c r="I22" s="25">
        <f>SUMIF(CashFlow!$D$4:$DS$4,I$3,CashFlow!$D$32:$DS$32)</f>
        <v/>
      </c>
      <c r="J22" s="25">
        <f>SUMIF(CashFlow!$D$4:$DS$4,J$3,CashFlow!$D$32:$DS$32)</f>
        <v/>
      </c>
      <c r="K22" s="25">
        <f>SUMIF(CashFlow!$D$4:$DS$4,K$3,CashFlow!$D$32:$DS$32)</f>
        <v/>
      </c>
      <c r="L22" s="25">
        <f>SUMIF(CashFlow!$D$4:$DS$4,L$3,CashFlow!$D$32:$DS$32)</f>
        <v/>
      </c>
      <c r="M22" s="25">
        <f>SUMIF(CashFlow!$D$4:$DS$4,M$3,CashFlow!$D$32:$DS$32)</f>
        <v/>
      </c>
    </row>
    <row r="23">
      <c r="A23" s="2" t="inlineStr">
        <is>
          <t>AN_CF_VET</t>
        </is>
      </c>
      <c r="B23" s="6" t="inlineStr">
        <is>
          <t>Veterinary care, medicines, minerals</t>
        </is>
      </c>
      <c r="C23" s="2" t="inlineStr">
        <is>
          <t>RWF</t>
        </is>
      </c>
      <c r="D23" s="25">
        <f>SUMIF(CashFlow!$D$4:$DS$4,D$3,CashFlow!$D$30:$DS$30)</f>
        <v/>
      </c>
      <c r="E23" s="25">
        <f>SUMIF(CashFlow!$D$4:$DS$4,E$3,CashFlow!$D$30:$DS$30)</f>
        <v/>
      </c>
      <c r="F23" s="25">
        <f>SUMIF(CashFlow!$D$4:$DS$4,F$3,CashFlow!$D$30:$DS$30)</f>
        <v/>
      </c>
      <c r="G23" s="25">
        <f>SUMIF(CashFlow!$D$4:$DS$4,G$3,CashFlow!$D$30:$DS$30)</f>
        <v/>
      </c>
      <c r="H23" s="25">
        <f>SUMIF(CashFlow!$D$4:$DS$4,H$3,CashFlow!$D$30:$DS$30)</f>
        <v/>
      </c>
      <c r="I23" s="25">
        <f>SUMIF(CashFlow!$D$4:$DS$4,I$3,CashFlow!$D$30:$DS$30)</f>
        <v/>
      </c>
      <c r="J23" s="25">
        <f>SUMIF(CashFlow!$D$4:$DS$4,J$3,CashFlow!$D$30:$DS$30)</f>
        <v/>
      </c>
      <c r="K23" s="25">
        <f>SUMIF(CashFlow!$D$4:$DS$4,K$3,CashFlow!$D$30:$DS$30)</f>
        <v/>
      </c>
      <c r="L23" s="25">
        <f>SUMIF(CashFlow!$D$4:$DS$4,L$3,CashFlow!$D$30:$DS$30)</f>
        <v/>
      </c>
      <c r="M23" s="25">
        <f>SUMIF(CashFlow!$D$4:$DS$4,M$3,CashFlow!$D$30:$DS$30)</f>
        <v/>
      </c>
    </row>
    <row r="24">
      <c r="A24" s="2" t="inlineStr">
        <is>
          <t>AN_CF_FERT</t>
        </is>
      </c>
      <c r="B24" s="6" t="inlineStr">
        <is>
          <t>Orchard inputs</t>
        </is>
      </c>
      <c r="C24" s="2" t="inlineStr">
        <is>
          <t>RWF</t>
        </is>
      </c>
      <c r="D24" s="25">
        <f>SUMIF(CashFlow!$D$4:$DS$4,D$3,CashFlow!$D$33:$DS$33)</f>
        <v/>
      </c>
      <c r="E24" s="25">
        <f>SUMIF(CashFlow!$D$4:$DS$4,E$3,CashFlow!$D$33:$DS$33)</f>
        <v/>
      </c>
      <c r="F24" s="25">
        <f>SUMIF(CashFlow!$D$4:$DS$4,F$3,CashFlow!$D$33:$DS$33)</f>
        <v/>
      </c>
      <c r="G24" s="25">
        <f>SUMIF(CashFlow!$D$4:$DS$4,G$3,CashFlow!$D$33:$DS$33)</f>
        <v/>
      </c>
      <c r="H24" s="25">
        <f>SUMIF(CashFlow!$D$4:$DS$4,H$3,CashFlow!$D$33:$DS$33)</f>
        <v/>
      </c>
      <c r="I24" s="25">
        <f>SUMIF(CashFlow!$D$4:$DS$4,I$3,CashFlow!$D$33:$DS$33)</f>
        <v/>
      </c>
      <c r="J24" s="25">
        <f>SUMIF(CashFlow!$D$4:$DS$4,J$3,CashFlow!$D$33:$DS$33)</f>
        <v/>
      </c>
      <c r="K24" s="25">
        <f>SUMIF(CashFlow!$D$4:$DS$4,K$3,CashFlow!$D$33:$DS$33)</f>
        <v/>
      </c>
      <c r="L24" s="25">
        <f>SUMIF(CashFlow!$D$4:$DS$4,L$3,CashFlow!$D$33:$DS$33)</f>
        <v/>
      </c>
      <c r="M24" s="25">
        <f>SUMIF(CashFlow!$D$4:$DS$4,M$3,CashFlow!$D$33:$DS$33)</f>
        <v/>
      </c>
    </row>
    <row r="25">
      <c r="A25" s="2" t="inlineStr">
        <is>
          <t>AN_CF_PASTM</t>
        </is>
      </c>
      <c r="B25" s="6" t="inlineStr">
        <is>
          <t>Pasture and fodder upkeep</t>
        </is>
      </c>
      <c r="C25" s="2" t="inlineStr">
        <is>
          <t>RWF</t>
        </is>
      </c>
      <c r="D25" s="25">
        <f>SUMIF(CashFlow!$D$4:$DS$4,D$3,CashFlow!$D$34:$DS$34)</f>
        <v/>
      </c>
      <c r="E25" s="25">
        <f>SUMIF(CashFlow!$D$4:$DS$4,E$3,CashFlow!$D$34:$DS$34)</f>
        <v/>
      </c>
      <c r="F25" s="25">
        <f>SUMIF(CashFlow!$D$4:$DS$4,F$3,CashFlow!$D$34:$DS$34)</f>
        <v/>
      </c>
      <c r="G25" s="25">
        <f>SUMIF(CashFlow!$D$4:$DS$4,G$3,CashFlow!$D$34:$DS$34)</f>
        <v/>
      </c>
      <c r="H25" s="25">
        <f>SUMIF(CashFlow!$D$4:$DS$4,H$3,CashFlow!$D$34:$DS$34)</f>
        <v/>
      </c>
      <c r="I25" s="25">
        <f>SUMIF(CashFlow!$D$4:$DS$4,I$3,CashFlow!$D$34:$DS$34)</f>
        <v/>
      </c>
      <c r="J25" s="25">
        <f>SUMIF(CashFlow!$D$4:$DS$4,J$3,CashFlow!$D$34:$DS$34)</f>
        <v/>
      </c>
      <c r="K25" s="25">
        <f>SUMIF(CashFlow!$D$4:$DS$4,K$3,CashFlow!$D$34:$DS$34)</f>
        <v/>
      </c>
      <c r="L25" s="25">
        <f>SUMIF(CashFlow!$D$4:$DS$4,L$3,CashFlow!$D$34:$DS$34)</f>
        <v/>
      </c>
      <c r="M25" s="25">
        <f>SUMIF(CashFlow!$D$4:$DS$4,M$3,CashFlow!$D$34:$DS$34)</f>
        <v/>
      </c>
    </row>
    <row r="26">
      <c r="A26" s="2" t="inlineStr">
        <is>
          <t>AN_CF_CASUAL</t>
        </is>
      </c>
      <c r="B26" s="6" t="inlineStr">
        <is>
          <t>Casual labour</t>
        </is>
      </c>
      <c r="C26" s="2" t="inlineStr">
        <is>
          <t>RWF</t>
        </is>
      </c>
      <c r="D26" s="25">
        <f>SUMIF(CashFlow!$D$4:$DS$4,D$3,CashFlow!$D$29:$DS$29)</f>
        <v/>
      </c>
      <c r="E26" s="25">
        <f>SUMIF(CashFlow!$D$4:$DS$4,E$3,CashFlow!$D$29:$DS$29)</f>
        <v/>
      </c>
      <c r="F26" s="25">
        <f>SUMIF(CashFlow!$D$4:$DS$4,F$3,CashFlow!$D$29:$DS$29)</f>
        <v/>
      </c>
      <c r="G26" s="25">
        <f>SUMIF(CashFlow!$D$4:$DS$4,G$3,CashFlow!$D$29:$DS$29)</f>
        <v/>
      </c>
      <c r="H26" s="25">
        <f>SUMIF(CashFlow!$D$4:$DS$4,H$3,CashFlow!$D$29:$DS$29)</f>
        <v/>
      </c>
      <c r="I26" s="25">
        <f>SUMIF(CashFlow!$D$4:$DS$4,I$3,CashFlow!$D$29:$DS$29)</f>
        <v/>
      </c>
      <c r="J26" s="25">
        <f>SUMIF(CashFlow!$D$4:$DS$4,J$3,CashFlow!$D$29:$DS$29)</f>
        <v/>
      </c>
      <c r="K26" s="25">
        <f>SUMIF(CashFlow!$D$4:$DS$4,K$3,CashFlow!$D$29:$DS$29)</f>
        <v/>
      </c>
      <c r="L26" s="25">
        <f>SUMIF(CashFlow!$D$4:$DS$4,L$3,CashFlow!$D$29:$DS$29)</f>
        <v/>
      </c>
      <c r="M26" s="25">
        <f>SUMIF(CashFlow!$D$4:$DS$4,M$3,CashFlow!$D$29:$DS$29)</f>
        <v/>
      </c>
    </row>
    <row r="27">
      <c r="A27" s="2" t="inlineStr">
        <is>
          <t>AN_CF_REPL</t>
        </is>
      </c>
      <c r="B27" s="6" t="inlineStr">
        <is>
          <t>Replanting short-cycle crops</t>
        </is>
      </c>
      <c r="C27" s="2" t="inlineStr">
        <is>
          <t>RWF</t>
        </is>
      </c>
      <c r="D27" s="25">
        <f>SUMIF(CashFlow!$D$4:$DS$4,D$3,CashFlow!$D$35:$DS$35)</f>
        <v/>
      </c>
      <c r="E27" s="25">
        <f>SUMIF(CashFlow!$D$4:$DS$4,E$3,CashFlow!$D$35:$DS$35)</f>
        <v/>
      </c>
      <c r="F27" s="25">
        <f>SUMIF(CashFlow!$D$4:$DS$4,F$3,CashFlow!$D$35:$DS$35)</f>
        <v/>
      </c>
      <c r="G27" s="25">
        <f>SUMIF(CashFlow!$D$4:$DS$4,G$3,CashFlow!$D$35:$DS$35)</f>
        <v/>
      </c>
      <c r="H27" s="25">
        <f>SUMIF(CashFlow!$D$4:$DS$4,H$3,CashFlow!$D$35:$DS$35)</f>
        <v/>
      </c>
      <c r="I27" s="25">
        <f>SUMIF(CashFlow!$D$4:$DS$4,I$3,CashFlow!$D$35:$DS$35)</f>
        <v/>
      </c>
      <c r="J27" s="25">
        <f>SUMIF(CashFlow!$D$4:$DS$4,J$3,CashFlow!$D$35:$DS$35)</f>
        <v/>
      </c>
      <c r="K27" s="25">
        <f>SUMIF(CashFlow!$D$4:$DS$4,K$3,CashFlow!$D$35:$DS$35)</f>
        <v/>
      </c>
      <c r="L27" s="25">
        <f>SUMIF(CashFlow!$D$4:$DS$4,L$3,CashFlow!$D$35:$DS$35)</f>
        <v/>
      </c>
      <c r="M27" s="25">
        <f>SUMIF(CashFlow!$D$4:$DS$4,M$3,CashFlow!$D$35:$DS$35)</f>
        <v/>
      </c>
    </row>
    <row r="28">
      <c r="A28" s="2" t="inlineStr">
        <is>
          <t>AN_CF_TRANSF</t>
        </is>
      </c>
      <c r="B28" s="6" t="inlineStr">
        <is>
          <t>Transport: fruit</t>
        </is>
      </c>
      <c r="C28" s="2" t="inlineStr">
        <is>
          <t>RWF</t>
        </is>
      </c>
      <c r="D28" s="25">
        <f>SUMIF(CashFlow!$D$4:$DS$4,D$3,CashFlow!$D$36:$DS$36)</f>
        <v/>
      </c>
      <c r="E28" s="25">
        <f>SUMIF(CashFlow!$D$4:$DS$4,E$3,CashFlow!$D$36:$DS$36)</f>
        <v/>
      </c>
      <c r="F28" s="25">
        <f>SUMIF(CashFlow!$D$4:$DS$4,F$3,CashFlow!$D$36:$DS$36)</f>
        <v/>
      </c>
      <c r="G28" s="25">
        <f>SUMIF(CashFlow!$D$4:$DS$4,G$3,CashFlow!$D$36:$DS$36)</f>
        <v/>
      </c>
      <c r="H28" s="25">
        <f>SUMIF(CashFlow!$D$4:$DS$4,H$3,CashFlow!$D$36:$DS$36)</f>
        <v/>
      </c>
      <c r="I28" s="25">
        <f>SUMIF(CashFlow!$D$4:$DS$4,I$3,CashFlow!$D$36:$DS$36)</f>
        <v/>
      </c>
      <c r="J28" s="25">
        <f>SUMIF(CashFlow!$D$4:$DS$4,J$3,CashFlow!$D$36:$DS$36)</f>
        <v/>
      </c>
      <c r="K28" s="25">
        <f>SUMIF(CashFlow!$D$4:$DS$4,K$3,CashFlow!$D$36:$DS$36)</f>
        <v/>
      </c>
      <c r="L28" s="25">
        <f>SUMIF(CashFlow!$D$4:$DS$4,L$3,CashFlow!$D$36:$DS$36)</f>
        <v/>
      </c>
      <c r="M28" s="25">
        <f>SUMIF(CashFlow!$D$4:$DS$4,M$3,CashFlow!$D$36:$DS$36)</f>
        <v/>
      </c>
    </row>
    <row r="29">
      <c r="A29" s="2" t="inlineStr">
        <is>
          <t>AN_CF_TRANSL</t>
        </is>
      </c>
      <c r="B29" s="6" t="inlineStr">
        <is>
          <t>Transport: livestock</t>
        </is>
      </c>
      <c r="C29" s="2" t="inlineStr">
        <is>
          <t>RWF</t>
        </is>
      </c>
      <c r="D29" s="25">
        <f>SUMIF(CashFlow!$D$4:$DS$4,D$3,CashFlow!$D$37:$DS$37)</f>
        <v/>
      </c>
      <c r="E29" s="25">
        <f>SUMIF(CashFlow!$D$4:$DS$4,E$3,CashFlow!$D$37:$DS$37)</f>
        <v/>
      </c>
      <c r="F29" s="25">
        <f>SUMIF(CashFlow!$D$4:$DS$4,F$3,CashFlow!$D$37:$DS$37)</f>
        <v/>
      </c>
      <c r="G29" s="25">
        <f>SUMIF(CashFlow!$D$4:$DS$4,G$3,CashFlow!$D$37:$DS$37)</f>
        <v/>
      </c>
      <c r="H29" s="25">
        <f>SUMIF(CashFlow!$D$4:$DS$4,H$3,CashFlow!$D$37:$DS$37)</f>
        <v/>
      </c>
      <c r="I29" s="25">
        <f>SUMIF(CashFlow!$D$4:$DS$4,I$3,CashFlow!$D$37:$DS$37)</f>
        <v/>
      </c>
      <c r="J29" s="25">
        <f>SUMIF(CashFlow!$D$4:$DS$4,J$3,CashFlow!$D$37:$DS$37)</f>
        <v/>
      </c>
      <c r="K29" s="25">
        <f>SUMIF(CashFlow!$D$4:$DS$4,K$3,CashFlow!$D$37:$DS$37)</f>
        <v/>
      </c>
      <c r="L29" s="25">
        <f>SUMIF(CashFlow!$D$4:$DS$4,L$3,CashFlow!$D$37:$DS$37)</f>
        <v/>
      </c>
      <c r="M29" s="25">
        <f>SUMIF(CashFlow!$D$4:$DS$4,M$3,CashFlow!$D$37:$DS$37)</f>
        <v/>
      </c>
    </row>
    <row r="30">
      <c r="A30" s="2" t="inlineStr">
        <is>
          <t>AN_CF_PACK</t>
        </is>
      </c>
      <c r="B30" s="6" t="inlineStr">
        <is>
          <t>Packaging</t>
        </is>
      </c>
      <c r="C30" s="2" t="inlineStr">
        <is>
          <t>RWF</t>
        </is>
      </c>
      <c r="D30" s="25">
        <f>SUMIF(CashFlow!$D$4:$DS$4,D$3,CashFlow!$D$38:$DS$38)</f>
        <v/>
      </c>
      <c r="E30" s="25">
        <f>SUMIF(CashFlow!$D$4:$DS$4,E$3,CashFlow!$D$38:$DS$38)</f>
        <v/>
      </c>
      <c r="F30" s="25">
        <f>SUMIF(CashFlow!$D$4:$DS$4,F$3,CashFlow!$D$38:$DS$38)</f>
        <v/>
      </c>
      <c r="G30" s="25">
        <f>SUMIF(CashFlow!$D$4:$DS$4,G$3,CashFlow!$D$38:$DS$38)</f>
        <v/>
      </c>
      <c r="H30" s="25">
        <f>SUMIF(CashFlow!$D$4:$DS$4,H$3,CashFlow!$D$38:$DS$38)</f>
        <v/>
      </c>
      <c r="I30" s="25">
        <f>SUMIF(CashFlow!$D$4:$DS$4,I$3,CashFlow!$D$38:$DS$38)</f>
        <v/>
      </c>
      <c r="J30" s="25">
        <f>SUMIF(CashFlow!$D$4:$DS$4,J$3,CashFlow!$D$38:$DS$38)</f>
        <v/>
      </c>
      <c r="K30" s="25">
        <f>SUMIF(CashFlow!$D$4:$DS$4,K$3,CashFlow!$D$38:$DS$38)</f>
        <v/>
      </c>
      <c r="L30" s="25">
        <f>SUMIF(CashFlow!$D$4:$DS$4,L$3,CashFlow!$D$38:$DS$38)</f>
        <v/>
      </c>
      <c r="M30" s="25">
        <f>SUMIF(CashFlow!$D$4:$DS$4,M$3,CashFlow!$D$38:$DS$38)</f>
        <v/>
      </c>
    </row>
    <row r="31">
      <c r="A31" s="2" t="inlineStr">
        <is>
          <t>AN_DIRECT</t>
        </is>
      </c>
      <c r="B31" s="3" t="inlineStr">
        <is>
          <t>Total direct costs</t>
        </is>
      </c>
      <c r="C31" s="2" t="inlineStr">
        <is>
          <t>RWF</t>
        </is>
      </c>
      <c r="D31" s="37">
        <f>SUM(D21:D30)</f>
        <v/>
      </c>
      <c r="E31" s="37">
        <f>SUM(E21:E30)</f>
        <v/>
      </c>
      <c r="F31" s="37">
        <f>SUM(F21:F30)</f>
        <v/>
      </c>
      <c r="G31" s="37">
        <f>SUM(G21:G30)</f>
        <v/>
      </c>
      <c r="H31" s="37">
        <f>SUM(H21:H30)</f>
        <v/>
      </c>
      <c r="I31" s="37">
        <f>SUM(I21:I30)</f>
        <v/>
      </c>
      <c r="J31" s="37">
        <f>SUM(J21:J30)</f>
        <v/>
      </c>
      <c r="K31" s="37">
        <f>SUM(K21:K30)</f>
        <v/>
      </c>
      <c r="L31" s="37">
        <f>SUM(L21:L30)</f>
        <v/>
      </c>
      <c r="M31" s="37">
        <f>SUM(M21:M30)</f>
        <v/>
      </c>
    </row>
    <row r="32">
      <c r="A32" s="2" t="inlineStr">
        <is>
          <t>AN_GM</t>
        </is>
      </c>
      <c r="B32" s="3" t="inlineStr">
        <is>
          <t>Gross margin</t>
        </is>
      </c>
      <c r="C32" s="2" t="inlineStr">
        <is>
          <t>RWF</t>
        </is>
      </c>
      <c r="D32" s="31">
        <f>D18-D31</f>
        <v/>
      </c>
      <c r="E32" s="31">
        <f>E18-E31</f>
        <v/>
      </c>
      <c r="F32" s="31">
        <f>F18-F31</f>
        <v/>
      </c>
      <c r="G32" s="31">
        <f>G18-G31</f>
        <v/>
      </c>
      <c r="H32" s="31">
        <f>H18-H31</f>
        <v/>
      </c>
      <c r="I32" s="31">
        <f>I18-I31</f>
        <v/>
      </c>
      <c r="J32" s="31">
        <f>J18-J31</f>
        <v/>
      </c>
      <c r="K32" s="31">
        <f>K18-K31</f>
        <v/>
      </c>
      <c r="L32" s="31">
        <f>L18-L31</f>
        <v/>
      </c>
      <c r="M32" s="31">
        <f>M18-M31</f>
        <v/>
      </c>
    </row>
    <row r="33">
      <c r="A33" s="2" t="inlineStr">
        <is>
          <t>AN_GMPCT</t>
        </is>
      </c>
      <c r="B33" s="6" t="inlineStr">
        <is>
          <t>Gross margin %</t>
        </is>
      </c>
      <c r="C33" s="2" t="inlineStr">
        <is>
          <t>share</t>
        </is>
      </c>
      <c r="D33" s="21">
        <f>IF(D18&gt;0,D32/D18,0)</f>
        <v/>
      </c>
      <c r="E33" s="21">
        <f>IF(E18&gt;0,E32/E18,0)</f>
        <v/>
      </c>
      <c r="F33" s="21">
        <f>IF(F18&gt;0,F32/F18,0)</f>
        <v/>
      </c>
      <c r="G33" s="21">
        <f>IF(G18&gt;0,G32/G18,0)</f>
        <v/>
      </c>
      <c r="H33" s="21">
        <f>IF(H18&gt;0,H32/H18,0)</f>
        <v/>
      </c>
      <c r="I33" s="21">
        <f>IF(I18&gt;0,I32/I18,0)</f>
        <v/>
      </c>
      <c r="J33" s="21">
        <f>IF(J18&gt;0,J32/J18,0)</f>
        <v/>
      </c>
      <c r="K33" s="21">
        <f>IF(K18&gt;0,K32/K18,0)</f>
        <v/>
      </c>
      <c r="L33" s="21">
        <f>IF(L18&gt;0,L32/L18,0)</f>
        <v/>
      </c>
      <c r="M33" s="21">
        <f>IF(M18&gt;0,M32/M18,0)</f>
        <v/>
      </c>
    </row>
    <row r="35">
      <c r="A35" s="11" t="n"/>
      <c r="B35" s="12" t="inlineStr">
        <is>
          <t>Overheads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>
      <c r="A36" s="2" t="inlineStr">
        <is>
          <t>AN_CF_PERM</t>
        </is>
      </c>
      <c r="B36" s="6" t="inlineStr">
        <is>
          <t>Permanent labour</t>
        </is>
      </c>
      <c r="C36" s="2" t="inlineStr">
        <is>
          <t>RWF</t>
        </is>
      </c>
      <c r="D36" s="25">
        <f>SUMIF(CashFlow!$D$4:$DS$4,D$3,CashFlow!$D$28:$DS$28)</f>
        <v/>
      </c>
      <c r="E36" s="25">
        <f>SUMIF(CashFlow!$D$4:$DS$4,E$3,CashFlow!$D$28:$DS$28)</f>
        <v/>
      </c>
      <c r="F36" s="25">
        <f>SUMIF(CashFlow!$D$4:$DS$4,F$3,CashFlow!$D$28:$DS$28)</f>
        <v/>
      </c>
      <c r="G36" s="25">
        <f>SUMIF(CashFlow!$D$4:$DS$4,G$3,CashFlow!$D$28:$DS$28)</f>
        <v/>
      </c>
      <c r="H36" s="25">
        <f>SUMIF(CashFlow!$D$4:$DS$4,H$3,CashFlow!$D$28:$DS$28)</f>
        <v/>
      </c>
      <c r="I36" s="25">
        <f>SUMIF(CashFlow!$D$4:$DS$4,I$3,CashFlow!$D$28:$DS$28)</f>
        <v/>
      </c>
      <c r="J36" s="25">
        <f>SUMIF(CashFlow!$D$4:$DS$4,J$3,CashFlow!$D$28:$DS$28)</f>
        <v/>
      </c>
      <c r="K36" s="25">
        <f>SUMIF(CashFlow!$D$4:$DS$4,K$3,CashFlow!$D$28:$DS$28)</f>
        <v/>
      </c>
      <c r="L36" s="25">
        <f>SUMIF(CashFlow!$D$4:$DS$4,L$3,CashFlow!$D$28:$DS$28)</f>
        <v/>
      </c>
      <c r="M36" s="25">
        <f>SUMIF(CashFlow!$D$4:$DS$4,M$3,CashFlow!$D$28:$DS$28)</f>
        <v/>
      </c>
    </row>
    <row r="37">
      <c r="A37" s="2" t="inlineStr">
        <is>
          <t>AN_CF_MKTG</t>
        </is>
      </c>
      <c r="B37" s="6" t="inlineStr">
        <is>
          <t>Marketing and sales</t>
        </is>
      </c>
      <c r="C37" s="2" t="inlineStr">
        <is>
          <t>RWF</t>
        </is>
      </c>
      <c r="D37" s="25">
        <f>SUMIF(CashFlow!$D$4:$DS$4,D$3,CashFlow!$D$39:$DS$39)</f>
        <v/>
      </c>
      <c r="E37" s="25">
        <f>SUMIF(CashFlow!$D$4:$DS$4,E$3,CashFlow!$D$39:$DS$39)</f>
        <v/>
      </c>
      <c r="F37" s="25">
        <f>SUMIF(CashFlow!$D$4:$DS$4,F$3,CashFlow!$D$39:$DS$39)</f>
        <v/>
      </c>
      <c r="G37" s="25">
        <f>SUMIF(CashFlow!$D$4:$DS$4,G$3,CashFlow!$D$39:$DS$39)</f>
        <v/>
      </c>
      <c r="H37" s="25">
        <f>SUMIF(CashFlow!$D$4:$DS$4,H$3,CashFlow!$D$39:$DS$39)</f>
        <v/>
      </c>
      <c r="I37" s="25">
        <f>SUMIF(CashFlow!$D$4:$DS$4,I$3,CashFlow!$D$39:$DS$39)</f>
        <v/>
      </c>
      <c r="J37" s="25">
        <f>SUMIF(CashFlow!$D$4:$DS$4,J$3,CashFlow!$D$39:$DS$39)</f>
        <v/>
      </c>
      <c r="K37" s="25">
        <f>SUMIF(CashFlow!$D$4:$DS$4,K$3,CashFlow!$D$39:$DS$39)</f>
        <v/>
      </c>
      <c r="L37" s="25">
        <f>SUMIF(CashFlow!$D$4:$DS$4,L$3,CashFlow!$D$39:$DS$39)</f>
        <v/>
      </c>
      <c r="M37" s="25">
        <f>SUMIF(CashFlow!$D$4:$DS$4,M$3,CashFlow!$D$39:$DS$39)</f>
        <v/>
      </c>
    </row>
    <row r="38">
      <c r="A38" s="2" t="inlineStr">
        <is>
          <t>AN_CF_COMMS</t>
        </is>
      </c>
      <c r="B38" s="6" t="inlineStr">
        <is>
          <t>Communications and software</t>
        </is>
      </c>
      <c r="C38" s="2" t="inlineStr">
        <is>
          <t>RWF</t>
        </is>
      </c>
      <c r="D38" s="25">
        <f>SUMIF(CashFlow!$D$4:$DS$4,D$3,CashFlow!$D$40:$DS$40)</f>
        <v/>
      </c>
      <c r="E38" s="25">
        <f>SUMIF(CashFlow!$D$4:$DS$4,E$3,CashFlow!$D$40:$DS$40)</f>
        <v/>
      </c>
      <c r="F38" s="25">
        <f>SUMIF(CashFlow!$D$4:$DS$4,F$3,CashFlow!$D$40:$DS$40)</f>
        <v/>
      </c>
      <c r="G38" s="25">
        <f>SUMIF(CashFlow!$D$4:$DS$4,G$3,CashFlow!$D$40:$DS$40)</f>
        <v/>
      </c>
      <c r="H38" s="25">
        <f>SUMIF(CashFlow!$D$4:$DS$4,H$3,CashFlow!$D$40:$DS$40)</f>
        <v/>
      </c>
      <c r="I38" s="25">
        <f>SUMIF(CashFlow!$D$4:$DS$4,I$3,CashFlow!$D$40:$DS$40)</f>
        <v/>
      </c>
      <c r="J38" s="25">
        <f>SUMIF(CashFlow!$D$4:$DS$4,J$3,CashFlow!$D$40:$DS$40)</f>
        <v/>
      </c>
      <c r="K38" s="25">
        <f>SUMIF(CashFlow!$D$4:$DS$4,K$3,CashFlow!$D$40:$DS$40)</f>
        <v/>
      </c>
      <c r="L38" s="25">
        <f>SUMIF(CashFlow!$D$4:$DS$4,L$3,CashFlow!$D$40:$DS$40)</f>
        <v/>
      </c>
      <c r="M38" s="25">
        <f>SUMIF(CashFlow!$D$4:$DS$4,M$3,CashFlow!$D$40:$DS$40)</f>
        <v/>
      </c>
    </row>
    <row r="39">
      <c r="A39" s="2" t="inlineStr">
        <is>
          <t>AN_CF_UTIL</t>
        </is>
      </c>
      <c r="B39" s="6" t="inlineStr">
        <is>
          <t>Utilities and fuel</t>
        </is>
      </c>
      <c r="C39" s="2" t="inlineStr">
        <is>
          <t>RWF</t>
        </is>
      </c>
      <c r="D39" s="25">
        <f>SUMIF(CashFlow!$D$4:$DS$4,D$3,CashFlow!$D$41:$DS$41)</f>
        <v/>
      </c>
      <c r="E39" s="25">
        <f>SUMIF(CashFlow!$D$4:$DS$4,E$3,CashFlow!$D$41:$DS$41)</f>
        <v/>
      </c>
      <c r="F39" s="25">
        <f>SUMIF(CashFlow!$D$4:$DS$4,F$3,CashFlow!$D$41:$DS$41)</f>
        <v/>
      </c>
      <c r="G39" s="25">
        <f>SUMIF(CashFlow!$D$4:$DS$4,G$3,CashFlow!$D$41:$DS$41)</f>
        <v/>
      </c>
      <c r="H39" s="25">
        <f>SUMIF(CashFlow!$D$4:$DS$4,H$3,CashFlow!$D$41:$DS$41)</f>
        <v/>
      </c>
      <c r="I39" s="25">
        <f>SUMIF(CashFlow!$D$4:$DS$4,I$3,CashFlow!$D$41:$DS$41)</f>
        <v/>
      </c>
      <c r="J39" s="25">
        <f>SUMIF(CashFlow!$D$4:$DS$4,J$3,CashFlow!$D$41:$DS$41)</f>
        <v/>
      </c>
      <c r="K39" s="25">
        <f>SUMIF(CashFlow!$D$4:$DS$4,K$3,CashFlow!$D$41:$DS$41)</f>
        <v/>
      </c>
      <c r="L39" s="25">
        <f>SUMIF(CashFlow!$D$4:$DS$4,L$3,CashFlow!$D$41:$DS$41)</f>
        <v/>
      </c>
      <c r="M39" s="25">
        <f>SUMIF(CashFlow!$D$4:$DS$4,M$3,CashFlow!$D$41:$DS$41)</f>
        <v/>
      </c>
    </row>
    <row r="40">
      <c r="A40" s="2" t="inlineStr">
        <is>
          <t>AN_CF_ADMIN</t>
        </is>
      </c>
      <c r="B40" s="6" t="inlineStr">
        <is>
          <t>Administration and accounting</t>
        </is>
      </c>
      <c r="C40" s="2" t="inlineStr">
        <is>
          <t>RWF</t>
        </is>
      </c>
      <c r="D40" s="25">
        <f>SUMIF(CashFlow!$D$4:$DS$4,D$3,CashFlow!$D$42:$DS$42)</f>
        <v/>
      </c>
      <c r="E40" s="25">
        <f>SUMIF(CashFlow!$D$4:$DS$4,E$3,CashFlow!$D$42:$DS$42)</f>
        <v/>
      </c>
      <c r="F40" s="25">
        <f>SUMIF(CashFlow!$D$4:$DS$4,F$3,CashFlow!$D$42:$DS$42)</f>
        <v/>
      </c>
      <c r="G40" s="25">
        <f>SUMIF(CashFlow!$D$4:$DS$4,G$3,CashFlow!$D$42:$DS$42)</f>
        <v/>
      </c>
      <c r="H40" s="25">
        <f>SUMIF(CashFlow!$D$4:$DS$4,H$3,CashFlow!$D$42:$DS$42)</f>
        <v/>
      </c>
      <c r="I40" s="25">
        <f>SUMIF(CashFlow!$D$4:$DS$4,I$3,CashFlow!$D$42:$DS$42)</f>
        <v/>
      </c>
      <c r="J40" s="25">
        <f>SUMIF(CashFlow!$D$4:$DS$4,J$3,CashFlow!$D$42:$DS$42)</f>
        <v/>
      </c>
      <c r="K40" s="25">
        <f>SUMIF(CashFlow!$D$4:$DS$4,K$3,CashFlow!$D$42:$DS$42)</f>
        <v/>
      </c>
      <c r="L40" s="25">
        <f>SUMIF(CashFlow!$D$4:$DS$4,L$3,CashFlow!$D$42:$DS$42)</f>
        <v/>
      </c>
      <c r="M40" s="25">
        <f>SUMIF(CashFlow!$D$4:$DS$4,M$3,CashFlow!$D$42:$DS$42)</f>
        <v/>
      </c>
    </row>
    <row r="41">
      <c r="A41" s="2" t="inlineStr">
        <is>
          <t>AN_CF_INS</t>
        </is>
      </c>
      <c r="B41" s="6" t="inlineStr">
        <is>
          <t>Livestock insurance</t>
        </is>
      </c>
      <c r="C41" s="2" t="inlineStr">
        <is>
          <t>RWF</t>
        </is>
      </c>
      <c r="D41" s="25">
        <f>SUMIF(CashFlow!$D$4:$DS$4,D$3,CashFlow!$D$43:$DS$43)</f>
        <v/>
      </c>
      <c r="E41" s="25">
        <f>SUMIF(CashFlow!$D$4:$DS$4,E$3,CashFlow!$D$43:$DS$43)</f>
        <v/>
      </c>
      <c r="F41" s="25">
        <f>SUMIF(CashFlow!$D$4:$DS$4,F$3,CashFlow!$D$43:$DS$43)</f>
        <v/>
      </c>
      <c r="G41" s="25">
        <f>SUMIF(CashFlow!$D$4:$DS$4,G$3,CashFlow!$D$43:$DS$43)</f>
        <v/>
      </c>
      <c r="H41" s="25">
        <f>SUMIF(CashFlow!$D$4:$DS$4,H$3,CashFlow!$D$43:$DS$43)</f>
        <v/>
      </c>
      <c r="I41" s="25">
        <f>SUMIF(CashFlow!$D$4:$DS$4,I$3,CashFlow!$D$43:$DS$43)</f>
        <v/>
      </c>
      <c r="J41" s="25">
        <f>SUMIF(CashFlow!$D$4:$DS$4,J$3,CashFlow!$D$43:$DS$43)</f>
        <v/>
      </c>
      <c r="K41" s="25">
        <f>SUMIF(CashFlow!$D$4:$DS$4,K$3,CashFlow!$D$43:$DS$43)</f>
        <v/>
      </c>
      <c r="L41" s="25">
        <f>SUMIF(CashFlow!$D$4:$DS$4,L$3,CashFlow!$D$43:$DS$43)</f>
        <v/>
      </c>
      <c r="M41" s="25">
        <f>SUMIF(CashFlow!$D$4:$DS$4,M$3,CashFlow!$D$43:$DS$43)</f>
        <v/>
      </c>
    </row>
    <row r="42">
      <c r="A42" s="2" t="inlineStr">
        <is>
          <t>AN_CF_RM</t>
        </is>
      </c>
      <c r="B42" s="6" t="inlineStr">
        <is>
          <t>Repairs and maintenance</t>
        </is>
      </c>
      <c r="C42" s="2" t="inlineStr">
        <is>
          <t>RWF</t>
        </is>
      </c>
      <c r="D42" s="25">
        <f>SUMIF(CashFlow!$D$4:$DS$4,D$3,CashFlow!$D$44:$DS$44)</f>
        <v/>
      </c>
      <c r="E42" s="25">
        <f>SUMIF(CashFlow!$D$4:$DS$4,E$3,CashFlow!$D$44:$DS$44)</f>
        <v/>
      </c>
      <c r="F42" s="25">
        <f>SUMIF(CashFlow!$D$4:$DS$4,F$3,CashFlow!$D$44:$DS$44)</f>
        <v/>
      </c>
      <c r="G42" s="25">
        <f>SUMIF(CashFlow!$D$4:$DS$4,G$3,CashFlow!$D$44:$DS$44)</f>
        <v/>
      </c>
      <c r="H42" s="25">
        <f>SUMIF(CashFlow!$D$4:$DS$4,H$3,CashFlow!$D$44:$DS$44)</f>
        <v/>
      </c>
      <c r="I42" s="25">
        <f>SUMIF(CashFlow!$D$4:$DS$4,I$3,CashFlow!$D$44:$DS$44)</f>
        <v/>
      </c>
      <c r="J42" s="25">
        <f>SUMIF(CashFlow!$D$4:$DS$4,J$3,CashFlow!$D$44:$DS$44)</f>
        <v/>
      </c>
      <c r="K42" s="25">
        <f>SUMIF(CashFlow!$D$4:$DS$4,K$3,CashFlow!$D$44:$DS$44)</f>
        <v/>
      </c>
      <c r="L42" s="25">
        <f>SUMIF(CashFlow!$D$4:$DS$4,L$3,CashFlow!$D$44:$DS$44)</f>
        <v/>
      </c>
      <c r="M42" s="25">
        <f>SUMIF(CashFlow!$D$4:$DS$4,M$3,CashFlow!$D$44:$DS$44)</f>
        <v/>
      </c>
    </row>
    <row r="43">
      <c r="A43" s="2" t="inlineStr">
        <is>
          <t>AN_CF_LAND</t>
        </is>
      </c>
      <c r="B43" s="6" t="inlineStr">
        <is>
          <t>Land fees and taxes</t>
        </is>
      </c>
      <c r="C43" s="2" t="inlineStr">
        <is>
          <t>RWF</t>
        </is>
      </c>
      <c r="D43" s="25">
        <f>SUMIF(CashFlow!$D$4:$DS$4,D$3,CashFlow!$D$45:$DS$45)</f>
        <v/>
      </c>
      <c r="E43" s="25">
        <f>SUMIF(CashFlow!$D$4:$DS$4,E$3,CashFlow!$D$45:$DS$45)</f>
        <v/>
      </c>
      <c r="F43" s="25">
        <f>SUMIF(CashFlow!$D$4:$DS$4,F$3,CashFlow!$D$45:$DS$45)</f>
        <v/>
      </c>
      <c r="G43" s="25">
        <f>SUMIF(CashFlow!$D$4:$DS$4,G$3,CashFlow!$D$45:$DS$45)</f>
        <v/>
      </c>
      <c r="H43" s="25">
        <f>SUMIF(CashFlow!$D$4:$DS$4,H$3,CashFlow!$D$45:$DS$45)</f>
        <v/>
      </c>
      <c r="I43" s="25">
        <f>SUMIF(CashFlow!$D$4:$DS$4,I$3,CashFlow!$D$45:$DS$45)</f>
        <v/>
      </c>
      <c r="J43" s="25">
        <f>SUMIF(CashFlow!$D$4:$DS$4,J$3,CashFlow!$D$45:$DS$45)</f>
        <v/>
      </c>
      <c r="K43" s="25">
        <f>SUMIF(CashFlow!$D$4:$DS$4,K$3,CashFlow!$D$45:$DS$45)</f>
        <v/>
      </c>
      <c r="L43" s="25">
        <f>SUMIF(CashFlow!$D$4:$DS$4,L$3,CashFlow!$D$45:$DS$45)</f>
        <v/>
      </c>
      <c r="M43" s="25">
        <f>SUMIF(CashFlow!$D$4:$DS$4,M$3,CashFlow!$D$45:$DS$45)</f>
        <v/>
      </c>
    </row>
    <row r="44">
      <c r="A44" s="2" t="inlineStr">
        <is>
          <t>AN_OVER</t>
        </is>
      </c>
      <c r="B44" s="3" t="inlineStr">
        <is>
          <t>Total overheads</t>
        </is>
      </c>
      <c r="C44" s="2" t="inlineStr">
        <is>
          <t>RWF</t>
        </is>
      </c>
      <c r="D44" s="37">
        <f>SUM(D36:D43)</f>
        <v/>
      </c>
      <c r="E44" s="37">
        <f>SUM(E36:E43)</f>
        <v/>
      </c>
      <c r="F44" s="37">
        <f>SUM(F36:F43)</f>
        <v/>
      </c>
      <c r="G44" s="37">
        <f>SUM(G36:G43)</f>
        <v/>
      </c>
      <c r="H44" s="37">
        <f>SUM(H36:H43)</f>
        <v/>
      </c>
      <c r="I44" s="37">
        <f>SUM(I36:I43)</f>
        <v/>
      </c>
      <c r="J44" s="37">
        <f>SUM(J36:J43)</f>
        <v/>
      </c>
      <c r="K44" s="37">
        <f>SUM(K36:K43)</f>
        <v/>
      </c>
      <c r="L44" s="37">
        <f>SUM(L36:L43)</f>
        <v/>
      </c>
      <c r="M44" s="37">
        <f>SUM(M36:M43)</f>
        <v/>
      </c>
    </row>
    <row r="46">
      <c r="A46" s="2" t="inlineStr">
        <is>
          <t>AN_EBITDA</t>
        </is>
      </c>
      <c r="B46" s="3" t="inlineStr">
        <is>
          <t>EBITDA</t>
        </is>
      </c>
      <c r="C46" s="2" t="inlineStr">
        <is>
          <t>RWF</t>
        </is>
      </c>
      <c r="D46" s="37">
        <f>D32-D44</f>
        <v/>
      </c>
      <c r="E46" s="37">
        <f>E32-E44</f>
        <v/>
      </c>
      <c r="F46" s="37">
        <f>F32-F44</f>
        <v/>
      </c>
      <c r="G46" s="37">
        <f>G32-G44</f>
        <v/>
      </c>
      <c r="H46" s="37">
        <f>H32-H44</f>
        <v/>
      </c>
      <c r="I46" s="37">
        <f>I32-I44</f>
        <v/>
      </c>
      <c r="J46" s="37">
        <f>J32-J44</f>
        <v/>
      </c>
      <c r="K46" s="37">
        <f>K32-K44</f>
        <v/>
      </c>
      <c r="L46" s="37">
        <f>L32-L44</f>
        <v/>
      </c>
      <c r="M46" s="37">
        <f>M32-M44</f>
        <v/>
      </c>
    </row>
    <row r="47">
      <c r="A47" s="2" t="inlineStr">
        <is>
          <t>AN_DEP</t>
        </is>
      </c>
      <c r="B47" s="6" t="inlineStr">
        <is>
          <t>Depreciation (incl. contingency)</t>
        </is>
      </c>
      <c r="C47" s="2" t="inlineStr">
        <is>
          <t>RWF</t>
        </is>
      </c>
      <c r="D47" s="25">
        <f>SUMPRODUCT((CapEx!$J$5:$J$34&lt;=D$3)*(CapEx!$J$5:$J$34+CapEx!$K$5:$K$34&gt;D$3)*CapEx!$L$5:$L$34)*(1+Assumptions!$H$10)</f>
        <v/>
      </c>
      <c r="E47" s="25">
        <f>SUMPRODUCT((CapEx!$J$5:$J$34&lt;=E$3)*(CapEx!$J$5:$J$34+CapEx!$K$5:$K$34&gt;E$3)*CapEx!$L$5:$L$34)*(1+Assumptions!$H$10)</f>
        <v/>
      </c>
      <c r="F47" s="25">
        <f>SUMPRODUCT((CapEx!$J$5:$J$34&lt;=F$3)*(CapEx!$J$5:$J$34+CapEx!$K$5:$K$34&gt;F$3)*CapEx!$L$5:$L$34)*(1+Assumptions!$H$10)</f>
        <v/>
      </c>
      <c r="G47" s="25">
        <f>SUMPRODUCT((CapEx!$J$5:$J$34&lt;=G$3)*(CapEx!$J$5:$J$34+CapEx!$K$5:$K$34&gt;G$3)*CapEx!$L$5:$L$34)*(1+Assumptions!$H$10)</f>
        <v/>
      </c>
      <c r="H47" s="25">
        <f>SUMPRODUCT((CapEx!$J$5:$J$34&lt;=H$3)*(CapEx!$J$5:$J$34+CapEx!$K$5:$K$34&gt;H$3)*CapEx!$L$5:$L$34)*(1+Assumptions!$H$10)</f>
        <v/>
      </c>
      <c r="I47" s="25">
        <f>SUMPRODUCT((CapEx!$J$5:$J$34&lt;=I$3)*(CapEx!$J$5:$J$34+CapEx!$K$5:$K$34&gt;I$3)*CapEx!$L$5:$L$34)*(1+Assumptions!$H$10)</f>
        <v/>
      </c>
      <c r="J47" s="25">
        <f>SUMPRODUCT((CapEx!$J$5:$J$34&lt;=J$3)*(CapEx!$J$5:$J$34+CapEx!$K$5:$K$34&gt;J$3)*CapEx!$L$5:$L$34)*(1+Assumptions!$H$10)</f>
        <v/>
      </c>
      <c r="K47" s="25">
        <f>SUMPRODUCT((CapEx!$J$5:$J$34&lt;=K$3)*(CapEx!$J$5:$J$34+CapEx!$K$5:$K$34&gt;K$3)*CapEx!$L$5:$L$34)*(1+Assumptions!$H$10)</f>
        <v/>
      </c>
      <c r="L47" s="25">
        <f>SUMPRODUCT((CapEx!$J$5:$J$34&lt;=L$3)*(CapEx!$J$5:$J$34+CapEx!$K$5:$K$34&gt;L$3)*CapEx!$L$5:$L$34)*(1+Assumptions!$H$10)</f>
        <v/>
      </c>
      <c r="M47" s="25">
        <f>SUMPRODUCT((CapEx!$J$5:$J$34&lt;=M$3)*(CapEx!$J$5:$J$34+CapEx!$K$5:$K$34&gt;M$3)*CapEx!$L$5:$L$34)*(1+Assumptions!$H$10)</f>
        <v/>
      </c>
    </row>
    <row r="48">
      <c r="A48" s="2" t="inlineStr">
        <is>
          <t>AN_EBIT</t>
        </is>
      </c>
      <c r="B48" s="3" t="inlineStr">
        <is>
          <t>EBIT</t>
        </is>
      </c>
      <c r="C48" s="2" t="inlineStr">
        <is>
          <t>RWF</t>
        </is>
      </c>
      <c r="D48" s="31">
        <f>D46-D47</f>
        <v/>
      </c>
      <c r="E48" s="31">
        <f>E46-E47</f>
        <v/>
      </c>
      <c r="F48" s="31">
        <f>F46-F47</f>
        <v/>
      </c>
      <c r="G48" s="31">
        <f>G46-G47</f>
        <v/>
      </c>
      <c r="H48" s="31">
        <f>H46-H47</f>
        <v/>
      </c>
      <c r="I48" s="31">
        <f>I46-I47</f>
        <v/>
      </c>
      <c r="J48" s="31">
        <f>J46-J47</f>
        <v/>
      </c>
      <c r="K48" s="31">
        <f>K46-K47</f>
        <v/>
      </c>
      <c r="L48" s="31">
        <f>L46-L47</f>
        <v/>
      </c>
      <c r="M48" s="31">
        <f>M46-M47</f>
        <v/>
      </c>
    </row>
    <row r="49">
      <c r="A49" s="2" t="inlineStr">
        <is>
          <t>AN_TAX</t>
        </is>
      </c>
      <c r="B49" s="6" t="inlineStr">
        <is>
          <t>Income tax (no loss carry-forward modelled)</t>
        </is>
      </c>
      <c r="C49" s="2" t="inlineStr">
        <is>
          <t>RWF</t>
        </is>
      </c>
      <c r="D49" s="25">
        <f>MAX(0,D48)*Assumptions!$H$8</f>
        <v/>
      </c>
      <c r="E49" s="25">
        <f>MAX(0,E48)*Assumptions!$H$8</f>
        <v/>
      </c>
      <c r="F49" s="25">
        <f>MAX(0,F48)*Assumptions!$H$8</f>
        <v/>
      </c>
      <c r="G49" s="25">
        <f>MAX(0,G48)*Assumptions!$H$8</f>
        <v/>
      </c>
      <c r="H49" s="25">
        <f>MAX(0,H48)*Assumptions!$H$8</f>
        <v/>
      </c>
      <c r="I49" s="25">
        <f>MAX(0,I48)*Assumptions!$H$8</f>
        <v/>
      </c>
      <c r="J49" s="25">
        <f>MAX(0,J48)*Assumptions!$H$8</f>
        <v/>
      </c>
      <c r="K49" s="25">
        <f>MAX(0,K48)*Assumptions!$H$8</f>
        <v/>
      </c>
      <c r="L49" s="25">
        <f>MAX(0,L48)*Assumptions!$H$8</f>
        <v/>
      </c>
      <c r="M49" s="25">
        <f>MAX(0,M48)*Assumptions!$H$8</f>
        <v/>
      </c>
    </row>
    <row r="50">
      <c r="A50" s="2" t="inlineStr">
        <is>
          <t>AN_NP</t>
        </is>
      </c>
      <c r="B50" s="3" t="inlineStr">
        <is>
          <t>Net profit</t>
        </is>
      </c>
      <c r="C50" s="2" t="inlineStr">
        <is>
          <t>RWF</t>
        </is>
      </c>
      <c r="D50" s="37">
        <f>D48-D49</f>
        <v/>
      </c>
      <c r="E50" s="37">
        <f>E48-E49</f>
        <v/>
      </c>
      <c r="F50" s="37">
        <f>F48-F49</f>
        <v/>
      </c>
      <c r="G50" s="37">
        <f>G48-G49</f>
        <v/>
      </c>
      <c r="H50" s="37">
        <f>H48-H49</f>
        <v/>
      </c>
      <c r="I50" s="37">
        <f>I48-I49</f>
        <v/>
      </c>
      <c r="J50" s="37">
        <f>J48-J49</f>
        <v/>
      </c>
      <c r="K50" s="37">
        <f>K48-K49</f>
        <v/>
      </c>
      <c r="L50" s="37">
        <f>L48-L49</f>
        <v/>
      </c>
      <c r="M50" s="37">
        <f>M48-M49</f>
        <v/>
      </c>
    </row>
    <row r="52">
      <c r="A52" s="11" t="n"/>
      <c r="B52" s="12" t="inlineStr">
        <is>
          <t>Cash flow (pre-financing)</t>
        </is>
      </c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</row>
    <row r="53">
      <c r="A53" s="2" t="inlineStr">
        <is>
          <t>AN_COLLECT</t>
        </is>
      </c>
      <c r="B53" s="6" t="inlineStr">
        <is>
          <t>Collections</t>
        </is>
      </c>
      <c r="C53" s="2" t="inlineStr">
        <is>
          <t>RWF</t>
        </is>
      </c>
      <c r="D53" s="25">
        <f>SUMIF(CashFlow!$D$4:$DS$4,D$3,CashFlow!$D$25:$DS$25)</f>
        <v/>
      </c>
      <c r="E53" s="25">
        <f>SUMIF(CashFlow!$D$4:$DS$4,E$3,CashFlow!$D$25:$DS$25)</f>
        <v/>
      </c>
      <c r="F53" s="25">
        <f>SUMIF(CashFlow!$D$4:$DS$4,F$3,CashFlow!$D$25:$DS$25)</f>
        <v/>
      </c>
      <c r="G53" s="25">
        <f>SUMIF(CashFlow!$D$4:$DS$4,G$3,CashFlow!$D$25:$DS$25)</f>
        <v/>
      </c>
      <c r="H53" s="25">
        <f>SUMIF(CashFlow!$D$4:$DS$4,H$3,CashFlow!$D$25:$DS$25)</f>
        <v/>
      </c>
      <c r="I53" s="25">
        <f>SUMIF(CashFlow!$D$4:$DS$4,I$3,CashFlow!$D$25:$DS$25)</f>
        <v/>
      </c>
      <c r="J53" s="25">
        <f>SUMIF(CashFlow!$D$4:$DS$4,J$3,CashFlow!$D$25:$DS$25)</f>
        <v/>
      </c>
      <c r="K53" s="25">
        <f>SUMIF(CashFlow!$D$4:$DS$4,K$3,CashFlow!$D$25:$DS$25)</f>
        <v/>
      </c>
      <c r="L53" s="25">
        <f>SUMIF(CashFlow!$D$4:$DS$4,L$3,CashFlow!$D$25:$DS$25)</f>
        <v/>
      </c>
      <c r="M53" s="25">
        <f>SUMIF(CashFlow!$D$4:$DS$4,M$3,CashFlow!$D$25:$DS$25)</f>
        <v/>
      </c>
    </row>
    <row r="54">
      <c r="A54" s="2" t="inlineStr">
        <is>
          <t>AN_OPEX</t>
        </is>
      </c>
      <c r="B54" s="6" t="inlineStr">
        <is>
          <t>Operating costs</t>
        </is>
      </c>
      <c r="C54" s="2" t="inlineStr">
        <is>
          <t>RWF</t>
        </is>
      </c>
      <c r="D54" s="25">
        <f>SUMIF(CashFlow!$D$4:$DS$4,D$3,CashFlow!$D$46:$DS$46)</f>
        <v/>
      </c>
      <c r="E54" s="25">
        <f>SUMIF(CashFlow!$D$4:$DS$4,E$3,CashFlow!$D$46:$DS$46)</f>
        <v/>
      </c>
      <c r="F54" s="25">
        <f>SUMIF(CashFlow!$D$4:$DS$4,F$3,CashFlow!$D$46:$DS$46)</f>
        <v/>
      </c>
      <c r="G54" s="25">
        <f>SUMIF(CashFlow!$D$4:$DS$4,G$3,CashFlow!$D$46:$DS$46)</f>
        <v/>
      </c>
      <c r="H54" s="25">
        <f>SUMIF(CashFlow!$D$4:$DS$4,H$3,CashFlow!$D$46:$DS$46)</f>
        <v/>
      </c>
      <c r="I54" s="25">
        <f>SUMIF(CashFlow!$D$4:$DS$4,I$3,CashFlow!$D$46:$DS$46)</f>
        <v/>
      </c>
      <c r="J54" s="25">
        <f>SUMIF(CashFlow!$D$4:$DS$4,J$3,CashFlow!$D$46:$DS$46)</f>
        <v/>
      </c>
      <c r="K54" s="25">
        <f>SUMIF(CashFlow!$D$4:$DS$4,K$3,CashFlow!$D$46:$DS$46)</f>
        <v/>
      </c>
      <c r="L54" s="25">
        <f>SUMIF(CashFlow!$D$4:$DS$4,L$3,CashFlow!$D$46:$DS$46)</f>
        <v/>
      </c>
      <c r="M54" s="25">
        <f>SUMIF(CashFlow!$D$4:$DS$4,M$3,CashFlow!$D$46:$DS$46)</f>
        <v/>
      </c>
    </row>
    <row r="55">
      <c r="A55" s="2" t="inlineStr">
        <is>
          <t>AN_CAPEX</t>
        </is>
      </c>
      <c r="B55" s="6" t="inlineStr">
        <is>
          <t>Capital items incl. contingency</t>
        </is>
      </c>
      <c r="C55" s="2" t="inlineStr">
        <is>
          <t>RWF</t>
        </is>
      </c>
      <c r="D55" s="25">
        <f>SUMIF(CashFlow!$D$4:$DS$4,D$3,CashFlow!$D$51:$DS$51)</f>
        <v/>
      </c>
      <c r="E55" s="25">
        <f>SUMIF(CashFlow!$D$4:$DS$4,E$3,CashFlow!$D$51:$DS$51)</f>
        <v/>
      </c>
      <c r="F55" s="25">
        <f>SUMIF(CashFlow!$D$4:$DS$4,F$3,CashFlow!$D$51:$DS$51)</f>
        <v/>
      </c>
      <c r="G55" s="25">
        <f>SUMIF(CashFlow!$D$4:$DS$4,G$3,CashFlow!$D$51:$DS$51)</f>
        <v/>
      </c>
      <c r="H55" s="25">
        <f>SUMIF(CashFlow!$D$4:$DS$4,H$3,CashFlow!$D$51:$DS$51)</f>
        <v/>
      </c>
      <c r="I55" s="25">
        <f>SUMIF(CashFlow!$D$4:$DS$4,I$3,CashFlow!$D$51:$DS$51)</f>
        <v/>
      </c>
      <c r="J55" s="25">
        <f>SUMIF(CashFlow!$D$4:$DS$4,J$3,CashFlow!$D$51:$DS$51)</f>
        <v/>
      </c>
      <c r="K55" s="25">
        <f>SUMIF(CashFlow!$D$4:$DS$4,K$3,CashFlow!$D$51:$DS$51)</f>
        <v/>
      </c>
      <c r="L55" s="25">
        <f>SUMIF(CashFlow!$D$4:$DS$4,L$3,CashFlow!$D$51:$DS$51)</f>
        <v/>
      </c>
      <c r="M55" s="25">
        <f>SUMIF(CashFlow!$D$4:$DS$4,M$3,CashFlow!$D$51:$DS$51)</f>
        <v/>
      </c>
    </row>
    <row r="56">
      <c r="A56" s="2" t="inlineStr">
        <is>
          <t>AN_ANIMALS</t>
        </is>
      </c>
      <c r="B56" s="6" t="inlineStr">
        <is>
          <t>Animal purchases</t>
        </is>
      </c>
      <c r="C56" s="2" t="inlineStr">
        <is>
          <t>RWF</t>
        </is>
      </c>
      <c r="D56" s="25">
        <f>SUMIF(CashFlow!$D$4:$DS$4,D$3,CashFlow!$D$52:$DS$52)</f>
        <v/>
      </c>
      <c r="E56" s="25">
        <f>SUMIF(CashFlow!$D$4:$DS$4,E$3,CashFlow!$D$52:$DS$52)</f>
        <v/>
      </c>
      <c r="F56" s="25">
        <f>SUMIF(CashFlow!$D$4:$DS$4,F$3,CashFlow!$D$52:$DS$52)</f>
        <v/>
      </c>
      <c r="G56" s="25">
        <f>SUMIF(CashFlow!$D$4:$DS$4,G$3,CashFlow!$D$52:$DS$52)</f>
        <v/>
      </c>
      <c r="H56" s="25">
        <f>SUMIF(CashFlow!$D$4:$DS$4,H$3,CashFlow!$D$52:$DS$52)</f>
        <v/>
      </c>
      <c r="I56" s="25">
        <f>SUMIF(CashFlow!$D$4:$DS$4,I$3,CashFlow!$D$52:$DS$52)</f>
        <v/>
      </c>
      <c r="J56" s="25">
        <f>SUMIF(CashFlow!$D$4:$DS$4,J$3,CashFlow!$D$52:$DS$52)</f>
        <v/>
      </c>
      <c r="K56" s="25">
        <f>SUMIF(CashFlow!$D$4:$DS$4,K$3,CashFlow!$D$52:$DS$52)</f>
        <v/>
      </c>
      <c r="L56" s="25">
        <f>SUMIF(CashFlow!$D$4:$DS$4,L$3,CashFlow!$D$52:$DS$52)</f>
        <v/>
      </c>
      <c r="M56" s="25">
        <f>SUMIF(CashFlow!$D$4:$DS$4,M$3,CashFlow!$D$52:$DS$52)</f>
        <v/>
      </c>
    </row>
    <row r="57">
      <c r="A57" s="2" t="inlineStr">
        <is>
          <t>AN_TAXPAID</t>
        </is>
      </c>
      <c r="B57" s="6" t="inlineStr">
        <is>
          <t>Income tax paid</t>
        </is>
      </c>
      <c r="C57" s="2" t="inlineStr">
        <is>
          <t>RWF</t>
        </is>
      </c>
      <c r="D57" s="25">
        <f>SUMIF(CashFlow!$D$4:$DS$4,D$3,CashFlow!$D$55:$DS$55)</f>
        <v/>
      </c>
      <c r="E57" s="25">
        <f>SUMIF(CashFlow!$D$4:$DS$4,E$3,CashFlow!$D$55:$DS$55)</f>
        <v/>
      </c>
      <c r="F57" s="25">
        <f>SUMIF(CashFlow!$D$4:$DS$4,F$3,CashFlow!$D$55:$DS$55)</f>
        <v/>
      </c>
      <c r="G57" s="25">
        <f>SUMIF(CashFlow!$D$4:$DS$4,G$3,CashFlow!$D$55:$DS$55)</f>
        <v/>
      </c>
      <c r="H57" s="25">
        <f>SUMIF(CashFlow!$D$4:$DS$4,H$3,CashFlow!$D$55:$DS$55)</f>
        <v/>
      </c>
      <c r="I57" s="25">
        <f>SUMIF(CashFlow!$D$4:$DS$4,I$3,CashFlow!$D$55:$DS$55)</f>
        <v/>
      </c>
      <c r="J57" s="25">
        <f>SUMIF(CashFlow!$D$4:$DS$4,J$3,CashFlow!$D$55:$DS$55)</f>
        <v/>
      </c>
      <c r="K57" s="25">
        <f>SUMIF(CashFlow!$D$4:$DS$4,K$3,CashFlow!$D$55:$DS$55)</f>
        <v/>
      </c>
      <c r="L57" s="25">
        <f>SUMIF(CashFlow!$D$4:$DS$4,L$3,CashFlow!$D$55:$DS$55)</f>
        <v/>
      </c>
      <c r="M57" s="25">
        <f>SUMIF(CashFlow!$D$4:$DS$4,M$3,CashFlow!$D$55:$DS$55)</f>
        <v/>
      </c>
    </row>
    <row r="58">
      <c r="A58" s="2" t="inlineStr">
        <is>
          <t>AN_NET</t>
        </is>
      </c>
      <c r="B58" s="3" t="inlineStr">
        <is>
          <t>Net cash flow</t>
        </is>
      </c>
      <c r="C58" s="2" t="inlineStr">
        <is>
          <t>RWF</t>
        </is>
      </c>
      <c r="D58" s="37">
        <f>D53-D54-D55-D56-D57</f>
        <v/>
      </c>
      <c r="E58" s="37">
        <f>E53-E54-E55-E56-E57</f>
        <v/>
      </c>
      <c r="F58" s="37">
        <f>F53-F54-F55-F56-F57</f>
        <v/>
      </c>
      <c r="G58" s="37">
        <f>G53-G54-G55-G56-G57</f>
        <v/>
      </c>
      <c r="H58" s="37">
        <f>H53-H54-H55-H56-H57</f>
        <v/>
      </c>
      <c r="I58" s="37">
        <f>I53-I54-I55-I56-I57</f>
        <v/>
      </c>
      <c r="J58" s="37">
        <f>J53-J54-J55-J56-J57</f>
        <v/>
      </c>
      <c r="K58" s="37">
        <f>K53-K54-K55-K56-K57</f>
        <v/>
      </c>
      <c r="L58" s="37">
        <f>L53-L54-L55-L56-L57</f>
        <v/>
      </c>
      <c r="M58" s="37">
        <f>M53-M54-M55-M56-M57</f>
        <v/>
      </c>
    </row>
    <row r="59">
      <c r="A59" s="2" t="inlineStr">
        <is>
          <t>AN_CUM</t>
        </is>
      </c>
      <c r="B59" s="3" t="inlineStr">
        <is>
          <t>Cumulative net cash flow</t>
        </is>
      </c>
      <c r="C59" s="2" t="inlineStr">
        <is>
          <t>RWF</t>
        </is>
      </c>
      <c r="D59" s="31">
        <f>0+D58</f>
        <v/>
      </c>
      <c r="E59" s="31">
        <f>D59+E58</f>
        <v/>
      </c>
      <c r="F59" s="31">
        <f>E59+F58</f>
        <v/>
      </c>
      <c r="G59" s="31">
        <f>F59+G58</f>
        <v/>
      </c>
      <c r="H59" s="31">
        <f>G59+H58</f>
        <v/>
      </c>
      <c r="I59" s="31">
        <f>H59+I58</f>
        <v/>
      </c>
      <c r="J59" s="31">
        <f>I59+J58</f>
        <v/>
      </c>
      <c r="K59" s="31">
        <f>J59+K58</f>
        <v/>
      </c>
      <c r="L59" s="31">
        <f>K59+L58</f>
        <v/>
      </c>
      <c r="M59" s="31">
        <f>L59+M58</f>
        <v/>
      </c>
    </row>
    <row r="60">
      <c r="A60" s="2" t="inlineStr">
        <is>
          <t>AN_DF</t>
        </is>
      </c>
      <c r="B60" s="6" t="inlineStr">
        <is>
          <t>Discount factor (end of year)</t>
        </is>
      </c>
      <c r="C60" s="2" t="inlineStr">
        <is>
          <t>factor</t>
        </is>
      </c>
      <c r="D60" s="22">
        <f>1/(1+Assumptions!$H$7)^D$3</f>
        <v/>
      </c>
      <c r="E60" s="22">
        <f>1/(1+Assumptions!$H$7)^E$3</f>
        <v/>
      </c>
      <c r="F60" s="22">
        <f>1/(1+Assumptions!$H$7)^F$3</f>
        <v/>
      </c>
      <c r="G60" s="22">
        <f>1/(1+Assumptions!$H$7)^G$3</f>
        <v/>
      </c>
      <c r="H60" s="22">
        <f>1/(1+Assumptions!$H$7)^H$3</f>
        <v/>
      </c>
      <c r="I60" s="22">
        <f>1/(1+Assumptions!$H$7)^I$3</f>
        <v/>
      </c>
      <c r="J60" s="22">
        <f>1/(1+Assumptions!$H$7)^J$3</f>
        <v/>
      </c>
      <c r="K60" s="22">
        <f>1/(1+Assumptions!$H$7)^K$3</f>
        <v/>
      </c>
      <c r="L60" s="22">
        <f>1/(1+Assumptions!$H$7)^L$3</f>
        <v/>
      </c>
      <c r="M60" s="22">
        <f>1/(1+Assumptions!$H$7)^M$3</f>
        <v/>
      </c>
    </row>
    <row r="61">
      <c r="A61" s="2" t="inlineStr">
        <is>
          <t>AN_PV</t>
        </is>
      </c>
      <c r="B61" s="6" t="inlineStr">
        <is>
          <t>Present value of net cash flow</t>
        </is>
      </c>
      <c r="C61" s="2" t="inlineStr">
        <is>
          <t>RWF</t>
        </is>
      </c>
      <c r="D61" s="25">
        <f>D58*D60</f>
        <v/>
      </c>
      <c r="E61" s="25">
        <f>E58*E60</f>
        <v/>
      </c>
      <c r="F61" s="25">
        <f>F58*F60</f>
        <v/>
      </c>
      <c r="G61" s="25">
        <f>G58*G60</f>
        <v/>
      </c>
      <c r="H61" s="25">
        <f>H58*H60</f>
        <v/>
      </c>
      <c r="I61" s="25">
        <f>I58*I60</f>
        <v/>
      </c>
      <c r="J61" s="25">
        <f>J58*J60</f>
        <v/>
      </c>
      <c r="K61" s="25">
        <f>K58*K60</f>
        <v/>
      </c>
      <c r="L61" s="25">
        <f>L58*L60</f>
        <v/>
      </c>
      <c r="M61" s="25">
        <f>M58*M60</f>
        <v/>
      </c>
    </row>
    <row r="62">
      <c r="A62" s="2" t="inlineStr">
        <is>
          <t>AN_PAYBACK</t>
        </is>
      </c>
      <c r="B62" s="6" t="inlineStr">
        <is>
          <t>Payback marker</t>
        </is>
      </c>
      <c r="C62" s="2" t="inlineStr">
        <is>
          <t>year</t>
        </is>
      </c>
      <c r="D62" s="33">
        <f>IF(D59&gt;=0,D$3,"")</f>
        <v/>
      </c>
      <c r="E62" s="33">
        <f>IF(AND(E59&gt;=0,D59&lt;0),E$3,"")</f>
        <v/>
      </c>
      <c r="F62" s="33">
        <f>IF(AND(F59&gt;=0,E59&lt;0),F$3,"")</f>
        <v/>
      </c>
      <c r="G62" s="33">
        <f>IF(AND(G59&gt;=0,F59&lt;0),G$3,"")</f>
        <v/>
      </c>
      <c r="H62" s="33">
        <f>IF(AND(H59&gt;=0,G59&lt;0),H$3,"")</f>
        <v/>
      </c>
      <c r="I62" s="33">
        <f>IF(AND(I59&gt;=0,H59&lt;0),I$3,"")</f>
        <v/>
      </c>
      <c r="J62" s="33">
        <f>IF(AND(J59&gt;=0,I59&lt;0),J$3,"")</f>
        <v/>
      </c>
      <c r="K62" s="33">
        <f>IF(AND(K59&gt;=0,J59&lt;0),K$3,"")</f>
        <v/>
      </c>
      <c r="L62" s="33">
        <f>IF(AND(L59&gt;=0,K59&lt;0),L$3,"")</f>
        <v/>
      </c>
      <c r="M62" s="33">
        <f>IF(AND(M59&gt;=0,L59&lt;0),M$3,"")</f>
        <v/>
      </c>
    </row>
    <row r="63">
      <c r="A63" s="2" t="inlineStr">
        <is>
          <t>AN_BE</t>
        </is>
      </c>
      <c r="B63" s="6" t="inlineStr">
        <is>
          <t>Operating break-even marker (EBITDA &gt; 0)</t>
        </is>
      </c>
      <c r="C63" s="2" t="inlineStr">
        <is>
          <t>year</t>
        </is>
      </c>
      <c r="D63" s="33">
        <f>IF(D46&gt;0,D$3,"")</f>
        <v/>
      </c>
      <c r="E63" s="33">
        <f>IF(E46&gt;0,E$3,"")</f>
        <v/>
      </c>
      <c r="F63" s="33">
        <f>IF(F46&gt;0,F$3,"")</f>
        <v/>
      </c>
      <c r="G63" s="33">
        <f>IF(G46&gt;0,G$3,"")</f>
        <v/>
      </c>
      <c r="H63" s="33">
        <f>IF(H46&gt;0,H$3,"")</f>
        <v/>
      </c>
      <c r="I63" s="33">
        <f>IF(I46&gt;0,I$3,"")</f>
        <v/>
      </c>
      <c r="J63" s="33">
        <f>IF(J46&gt;0,J$3,"")</f>
        <v/>
      </c>
      <c r="K63" s="33">
        <f>IF(K46&gt;0,K$3,"")</f>
        <v/>
      </c>
      <c r="L63" s="33">
        <f>IF(L46&gt;0,L$3,"")</f>
        <v/>
      </c>
      <c r="M63" s="33">
        <f>IF(M46&gt;0,M$3,"")</f>
        <v/>
      </c>
    </row>
    <row r="65">
      <c r="A65" s="11" t="n"/>
      <c r="B65" s="12" t="inlineStr">
        <is>
          <t>Operating indicators</t>
        </is>
      </c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</row>
    <row r="66">
      <c r="A66" s="2" t="inlineStr">
        <is>
          <t>AN_KG</t>
        </is>
      </c>
      <c r="B66" s="6" t="inlineStr">
        <is>
          <t>Fruit marketed</t>
        </is>
      </c>
      <c r="C66" s="2" t="inlineStr">
        <is>
          <t>kg</t>
        </is>
      </c>
      <c r="D66" s="25">
        <f>SUMIF(CashFlow!$D$4:$DS$4,D$3,CashFlow!$D$22:$DS$22)</f>
        <v/>
      </c>
      <c r="E66" s="25">
        <f>SUMIF(CashFlow!$D$4:$DS$4,E$3,CashFlow!$D$22:$DS$22)</f>
        <v/>
      </c>
      <c r="F66" s="25">
        <f>SUMIF(CashFlow!$D$4:$DS$4,F$3,CashFlow!$D$22:$DS$22)</f>
        <v/>
      </c>
      <c r="G66" s="25">
        <f>SUMIF(CashFlow!$D$4:$DS$4,G$3,CashFlow!$D$22:$DS$22)</f>
        <v/>
      </c>
      <c r="H66" s="25">
        <f>SUMIF(CashFlow!$D$4:$DS$4,H$3,CashFlow!$D$22:$DS$22)</f>
        <v/>
      </c>
      <c r="I66" s="25">
        <f>SUMIF(CashFlow!$D$4:$DS$4,I$3,CashFlow!$D$22:$DS$22)</f>
        <v/>
      </c>
      <c r="J66" s="25">
        <f>SUMIF(CashFlow!$D$4:$DS$4,J$3,CashFlow!$D$22:$DS$22)</f>
        <v/>
      </c>
      <c r="K66" s="25">
        <f>SUMIF(CashFlow!$D$4:$DS$4,K$3,CashFlow!$D$22:$DS$22)</f>
        <v/>
      </c>
      <c r="L66" s="25">
        <f>SUMIF(CashFlow!$D$4:$DS$4,L$3,CashFlow!$D$22:$DS$22)</f>
        <v/>
      </c>
      <c r="M66" s="25">
        <f>SUMIF(CashFlow!$D$4:$DS$4,M$3,CashFlow!$D$22:$DS$22)</f>
        <v/>
      </c>
    </row>
    <row r="67">
      <c r="A67" s="2" t="inlineStr">
        <is>
          <t>AN_GT_F</t>
        </is>
      </c>
      <c r="B67" s="6" t="inlineStr">
        <is>
          <t>Goats: breeding females at year end</t>
        </is>
      </c>
      <c r="C67" s="2" t="inlineStr">
        <is>
          <t>head</t>
        </is>
      </c>
      <c r="D67" s="29">
        <f>INDEX(Livestock!$D$18:$DS$18,1,12*D$3)</f>
        <v/>
      </c>
      <c r="E67" s="29">
        <f>INDEX(Livestock!$D$18:$DS$18,1,12*E$3)</f>
        <v/>
      </c>
      <c r="F67" s="29">
        <f>INDEX(Livestock!$D$18:$DS$18,1,12*F$3)</f>
        <v/>
      </c>
      <c r="G67" s="29">
        <f>INDEX(Livestock!$D$18:$DS$18,1,12*G$3)</f>
        <v/>
      </c>
      <c r="H67" s="29">
        <f>INDEX(Livestock!$D$18:$DS$18,1,12*H$3)</f>
        <v/>
      </c>
      <c r="I67" s="29">
        <f>INDEX(Livestock!$D$18:$DS$18,1,12*I$3)</f>
        <v/>
      </c>
      <c r="J67" s="29">
        <f>INDEX(Livestock!$D$18:$DS$18,1,12*J$3)</f>
        <v/>
      </c>
      <c r="K67" s="29">
        <f>INDEX(Livestock!$D$18:$DS$18,1,12*K$3)</f>
        <v/>
      </c>
      <c r="L67" s="29">
        <f>INDEX(Livestock!$D$18:$DS$18,1,12*L$3)</f>
        <v/>
      </c>
      <c r="M67" s="29">
        <f>INDEX(Livestock!$D$18:$DS$18,1,12*M$3)</f>
        <v/>
      </c>
    </row>
    <row r="68">
      <c r="A68" s="2" t="inlineStr">
        <is>
          <t>AN_SH_F</t>
        </is>
      </c>
      <c r="B68" s="6" t="inlineStr">
        <is>
          <t>Sheep: breeding females at year end</t>
        </is>
      </c>
      <c r="C68" s="2" t="inlineStr">
        <is>
          <t>head</t>
        </is>
      </c>
      <c r="D68" s="29">
        <f>INDEX(Livestock!$D$42:$DS$42,1,12*D$3)</f>
        <v/>
      </c>
      <c r="E68" s="29">
        <f>INDEX(Livestock!$D$42:$DS$42,1,12*E$3)</f>
        <v/>
      </c>
      <c r="F68" s="29">
        <f>INDEX(Livestock!$D$42:$DS$42,1,12*F$3)</f>
        <v/>
      </c>
      <c r="G68" s="29">
        <f>INDEX(Livestock!$D$42:$DS$42,1,12*G$3)</f>
        <v/>
      </c>
      <c r="H68" s="29">
        <f>INDEX(Livestock!$D$42:$DS$42,1,12*H$3)</f>
        <v/>
      </c>
      <c r="I68" s="29">
        <f>INDEX(Livestock!$D$42:$DS$42,1,12*I$3)</f>
        <v/>
      </c>
      <c r="J68" s="29">
        <f>INDEX(Livestock!$D$42:$DS$42,1,12*J$3)</f>
        <v/>
      </c>
      <c r="K68" s="29">
        <f>INDEX(Livestock!$D$42:$DS$42,1,12*K$3)</f>
        <v/>
      </c>
      <c r="L68" s="29">
        <f>INDEX(Livestock!$D$42:$DS$42,1,12*L$3)</f>
        <v/>
      </c>
      <c r="M68" s="29">
        <f>INDEX(Livestock!$D$42:$DS$42,1,12*M$3)</f>
        <v/>
      </c>
    </row>
    <row r="69">
      <c r="A69" s="2" t="inlineStr">
        <is>
          <t>AN_FDEM</t>
        </is>
      </c>
      <c r="B69" s="6" t="inlineStr">
        <is>
          <t>Feed demand</t>
        </is>
      </c>
      <c r="C69" s="2" t="inlineStr">
        <is>
          <t>kg DM</t>
        </is>
      </c>
      <c r="D69" s="25">
        <f>SUMIF(CashFlow!$D$4:$DS$4,D$3,Feed!$D$8:$DS$8)</f>
        <v/>
      </c>
      <c r="E69" s="25">
        <f>SUMIF(CashFlow!$D$4:$DS$4,E$3,Feed!$D$8:$DS$8)</f>
        <v/>
      </c>
      <c r="F69" s="25">
        <f>SUMIF(CashFlow!$D$4:$DS$4,F$3,Feed!$D$8:$DS$8)</f>
        <v/>
      </c>
      <c r="G69" s="25">
        <f>SUMIF(CashFlow!$D$4:$DS$4,G$3,Feed!$D$8:$DS$8)</f>
        <v/>
      </c>
      <c r="H69" s="25">
        <f>SUMIF(CashFlow!$D$4:$DS$4,H$3,Feed!$D$8:$DS$8)</f>
        <v/>
      </c>
      <c r="I69" s="25">
        <f>SUMIF(CashFlow!$D$4:$DS$4,I$3,Feed!$D$8:$DS$8)</f>
        <v/>
      </c>
      <c r="J69" s="25">
        <f>SUMIF(CashFlow!$D$4:$DS$4,J$3,Feed!$D$8:$DS$8)</f>
        <v/>
      </c>
      <c r="K69" s="25">
        <f>SUMIF(CashFlow!$D$4:$DS$4,K$3,Feed!$D$8:$DS$8)</f>
        <v/>
      </c>
      <c r="L69" s="25">
        <f>SUMIF(CashFlow!$D$4:$DS$4,L$3,Feed!$D$8:$DS$8)</f>
        <v/>
      </c>
      <c r="M69" s="25">
        <f>SUMIF(CashFlow!$D$4:$DS$4,M$3,Feed!$D$8:$DS$8)</f>
        <v/>
      </c>
    </row>
    <row r="70">
      <c r="A70" s="2" t="inlineStr">
        <is>
          <t>AN_FBUY</t>
        </is>
      </c>
      <c r="B70" s="6" t="inlineStr">
        <is>
          <t>Feed bought</t>
        </is>
      </c>
      <c r="C70" s="2" t="inlineStr">
        <is>
          <t>kg DM</t>
        </is>
      </c>
      <c r="D70" s="25">
        <f>SUMIF(CashFlow!$D$4:$DS$4,D$3,Feed!$D$17:$DS$17)</f>
        <v/>
      </c>
      <c r="E70" s="25">
        <f>SUMIF(CashFlow!$D$4:$DS$4,E$3,Feed!$D$17:$DS$17)</f>
        <v/>
      </c>
      <c r="F70" s="25">
        <f>SUMIF(CashFlow!$D$4:$DS$4,F$3,Feed!$D$17:$DS$17)</f>
        <v/>
      </c>
      <c r="G70" s="25">
        <f>SUMIF(CashFlow!$D$4:$DS$4,G$3,Feed!$D$17:$DS$17)</f>
        <v/>
      </c>
      <c r="H70" s="25">
        <f>SUMIF(CashFlow!$D$4:$DS$4,H$3,Feed!$D$17:$DS$17)</f>
        <v/>
      </c>
      <c r="I70" s="25">
        <f>SUMIF(CashFlow!$D$4:$DS$4,I$3,Feed!$D$17:$DS$17)</f>
        <v/>
      </c>
      <c r="J70" s="25">
        <f>SUMIF(CashFlow!$D$4:$DS$4,J$3,Feed!$D$17:$DS$17)</f>
        <v/>
      </c>
      <c r="K70" s="25">
        <f>SUMIF(CashFlow!$D$4:$DS$4,K$3,Feed!$D$17:$DS$17)</f>
        <v/>
      </c>
      <c r="L70" s="25">
        <f>SUMIF(CashFlow!$D$4:$DS$4,L$3,Feed!$D$17:$DS$17)</f>
        <v/>
      </c>
      <c r="M70" s="25">
        <f>SUMIF(CashFlow!$D$4:$DS$4,M$3,Feed!$D$17:$DS$17)</f>
        <v/>
      </c>
    </row>
    <row r="71">
      <c r="A71" s="2" t="inlineStr">
        <is>
          <t>AN_FSELF</t>
        </is>
      </c>
      <c r="B71" s="6" t="inlineStr">
        <is>
          <t>Feed self-sufficiency</t>
        </is>
      </c>
      <c r="C71" s="2" t="inlineStr">
        <is>
          <t>share</t>
        </is>
      </c>
      <c r="D71" s="21">
        <f>IF(D69&gt;0,1-D70/D69,1)</f>
        <v/>
      </c>
      <c r="E71" s="21">
        <f>IF(E69&gt;0,1-E70/E69,1)</f>
        <v/>
      </c>
      <c r="F71" s="21">
        <f>IF(F69&gt;0,1-F70/F69,1)</f>
        <v/>
      </c>
      <c r="G71" s="21">
        <f>IF(G69&gt;0,1-G70/G69,1)</f>
        <v/>
      </c>
      <c r="H71" s="21">
        <f>IF(H69&gt;0,1-H70/H69,1)</f>
        <v/>
      </c>
      <c r="I71" s="21">
        <f>IF(I69&gt;0,1-I70/I69,1)</f>
        <v/>
      </c>
      <c r="J71" s="21">
        <f>IF(J69&gt;0,1-J70/J69,1)</f>
        <v/>
      </c>
      <c r="K71" s="21">
        <f>IF(K69&gt;0,1-K70/K69,1)</f>
        <v/>
      </c>
      <c r="L71" s="21">
        <f>IF(L69&gt;0,1-L70/L69,1)</f>
        <v/>
      </c>
      <c r="M71" s="21">
        <f>IF(M69&gt;0,1-M70/M69,1)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8" customWidth="1" min="2" max="2"/>
    <col width="18" customWidth="1" min="3" max="3"/>
    <col width="28" customWidth="1" min="4" max="4"/>
  </cols>
  <sheetData>
    <row r="1">
      <c r="A1" s="1" t="inlineStr">
        <is>
          <t>Metrics</t>
        </is>
      </c>
    </row>
    <row r="2">
      <c r="A2" s="2" t="inlineStr">
        <is>
          <t>Headline results for the selected scenario and model. Placeholder inputs make these illustrative only.</t>
        </is>
      </c>
    </row>
    <row r="4">
      <c r="A4" s="5" t="inlineStr">
        <is>
          <t>Key</t>
        </is>
      </c>
      <c r="B4" s="5" t="inlineStr">
        <is>
          <t>Metric</t>
        </is>
      </c>
      <c r="C4" s="5" t="inlineStr">
        <is>
          <t>Value</t>
        </is>
      </c>
      <c r="D4" s="5" t="inlineStr">
        <is>
          <t>Unit / note</t>
        </is>
      </c>
    </row>
    <row r="5">
      <c r="A5" s="2" t="inlineStr">
        <is>
          <t>MX_SCEN</t>
        </is>
      </c>
      <c r="B5" s="6" t="inlineStr">
        <is>
          <t>Scenario</t>
        </is>
      </c>
      <c r="C5" s="38">
        <f>Control!$C$14</f>
        <v/>
      </c>
      <c r="D5" s="2" t="inlineStr"/>
    </row>
    <row r="6">
      <c r="A6" s="2" t="inlineStr">
        <is>
          <t>MX_MODEL</t>
        </is>
      </c>
      <c r="B6" s="6" t="inlineStr">
        <is>
          <t>Farm model</t>
        </is>
      </c>
      <c r="C6" s="38">
        <f>Control!$C$15</f>
        <v/>
      </c>
      <c r="D6" s="2" t="inlineStr"/>
    </row>
    <row r="7">
      <c r="A7" s="2" t="inlineStr">
        <is>
          <t>MX_CAP</t>
        </is>
      </c>
      <c r="B7" s="6" t="inlineStr">
        <is>
          <t>Capital available, years 1–2</t>
        </is>
      </c>
      <c r="C7" s="10">
        <f>Control!$C$8</f>
        <v/>
      </c>
      <c r="D7" s="2" t="inlineStr">
        <is>
          <t>RWF</t>
        </is>
      </c>
    </row>
    <row r="8">
      <c r="A8" s="2" t="inlineStr">
        <is>
          <t>MX_INV10</t>
        </is>
      </c>
      <c r="B8" s="6" t="inlineStr">
        <is>
          <t>Total investment over 10 years (capital items + animals)</t>
        </is>
      </c>
      <c r="C8" s="25">
        <f>SUM(Annual!$D$55:$M$55)+SUM(Annual!$D$56:$M$56)</f>
        <v/>
      </c>
      <c r="D8" s="2" t="inlineStr">
        <is>
          <t>RWF</t>
        </is>
      </c>
    </row>
    <row r="9">
      <c r="A9" s="2" t="inlineStr">
        <is>
          <t>MX_INV24</t>
        </is>
      </c>
      <c r="B9" s="6" t="inlineStr">
        <is>
          <t>Investment in months 1–24</t>
        </is>
      </c>
      <c r="C9" s="25">
        <f>SUM(CashFlow!$D$53:$AA$53)</f>
        <v/>
      </c>
      <c r="D9" s="2" t="inlineStr">
        <is>
          <t>RWF</t>
        </is>
      </c>
    </row>
    <row r="10">
      <c r="A10" s="2" t="inlineStr">
        <is>
          <t>MX_PEAK</t>
        </is>
      </c>
      <c r="B10" s="3" t="inlineStr">
        <is>
          <t>Peak funding need (lowest cumulative cash)</t>
        </is>
      </c>
      <c r="C10" s="31">
        <f>MAX(0,-MIN(CashFlow!$D$58:$DS$58))</f>
        <v/>
      </c>
      <c r="D10" s="2" t="inlineStr">
        <is>
          <t>RWF</t>
        </is>
      </c>
    </row>
    <row r="11">
      <c r="A11" s="2" t="inlineStr">
        <is>
          <t>MX_PEAKM</t>
        </is>
      </c>
      <c r="B11" s="6" t="inlineStr">
        <is>
          <t>Month of peak funding need</t>
        </is>
      </c>
      <c r="C11" s="39">
        <f>MATCH(MIN(CashFlow!$D$58:$DS$58),CashFlow!$D$58:$DS$58,0)</f>
        <v/>
      </c>
      <c r="D11" s="2" t="inlineStr">
        <is>
          <t>model month</t>
        </is>
      </c>
    </row>
    <row r="12">
      <c r="A12" s="2" t="inlineStr">
        <is>
          <t>MX_GAP</t>
        </is>
      </c>
      <c r="B12" s="3" t="inlineStr">
        <is>
          <t>FUNDING GAP (peak need less capital available)</t>
        </is>
      </c>
      <c r="C12" s="40">
        <f>MAX(0,C10-C7)</f>
        <v/>
      </c>
      <c r="D12" s="2" t="inlineStr">
        <is>
          <t>RWF</t>
        </is>
      </c>
    </row>
    <row r="13">
      <c r="A13" s="2" t="inlineStr">
        <is>
          <t>MX_GAPUSD</t>
        </is>
      </c>
      <c r="B13" s="6" t="inlineStr">
        <is>
          <t>Funding gap in USD</t>
        </is>
      </c>
      <c r="C13" s="10">
        <f>C12/Assumptions!$H$6</f>
        <v/>
      </c>
      <c r="D13" s="2" t="inlineStr">
        <is>
          <t>USD at the Assumptions rate</t>
        </is>
      </c>
    </row>
    <row r="14">
      <c r="A14" s="2" t="inlineStr">
        <is>
          <t>MX_NPV</t>
        </is>
      </c>
      <c r="B14" s="3" t="inlineStr">
        <is>
          <t>NPV, 10 years, real, no terminal value</t>
        </is>
      </c>
      <c r="C14" s="31">
        <f>NPV(Assumptions!$H$7,Annual!$D$58:$M$58)</f>
        <v/>
      </c>
      <c r="D14" s="2" t="inlineStr">
        <is>
          <t>RWF</t>
        </is>
      </c>
    </row>
    <row r="15">
      <c r="A15" s="2" t="inlineStr">
        <is>
          <t>MX_IRR</t>
        </is>
      </c>
      <c r="B15" s="6" t="inlineStr">
        <is>
          <t>IRR, 10 years</t>
        </is>
      </c>
      <c r="C15" s="21">
        <f>IFERROR(IRR(Annual!$D$58:$M$58),"n/a")</f>
        <v/>
      </c>
      <c r="D15" s="2" t="inlineStr">
        <is>
          <t>share</t>
        </is>
      </c>
    </row>
    <row r="16">
      <c r="A16" s="2" t="inlineStr">
        <is>
          <t>MX_PAYBACK</t>
        </is>
      </c>
      <c r="B16" s="6" t="inlineStr">
        <is>
          <t>Payback year (cumulative cash turns positive)</t>
        </is>
      </c>
      <c r="C16" s="33">
        <f>IF(COUNT(Annual!$D$62:$M$62)=0,"beyond Y10",MIN(Annual!$D$62:$M$62))</f>
        <v/>
      </c>
      <c r="D16" s="2" t="inlineStr">
        <is>
          <t>farm year</t>
        </is>
      </c>
    </row>
    <row r="17">
      <c r="A17" s="2" t="inlineStr">
        <is>
          <t>MX_BE</t>
        </is>
      </c>
      <c r="B17" s="6" t="inlineStr">
        <is>
          <t>First year with positive EBITDA</t>
        </is>
      </c>
      <c r="C17" s="33">
        <f>IF(COUNT(Annual!$D$63:$M$63)=0,"beyond Y10",MIN(Annual!$D$63:$M$63))</f>
        <v/>
      </c>
      <c r="D17" s="2" t="inlineStr">
        <is>
          <t>farm year</t>
        </is>
      </c>
    </row>
    <row r="18">
      <c r="A18" s="2" t="inlineStr">
        <is>
          <t>MX_REV5</t>
        </is>
      </c>
      <c r="B18" s="6" t="inlineStr">
        <is>
          <t>Revenue, year 5</t>
        </is>
      </c>
      <c r="C18" s="10">
        <f>Annual!H18</f>
        <v/>
      </c>
      <c r="D18" s="2" t="inlineStr">
        <is>
          <t>RWF</t>
        </is>
      </c>
    </row>
    <row r="19">
      <c r="A19" s="2" t="inlineStr">
        <is>
          <t>MX_REV10</t>
        </is>
      </c>
      <c r="B19" s="6" t="inlineStr">
        <is>
          <t>Revenue, year 10</t>
        </is>
      </c>
      <c r="C19" s="10">
        <f>Annual!M18</f>
        <v/>
      </c>
      <c r="D19" s="2" t="inlineStr">
        <is>
          <t>RWF</t>
        </is>
      </c>
    </row>
    <row r="20">
      <c r="A20" s="2" t="inlineStr">
        <is>
          <t>MX_EBITDA5</t>
        </is>
      </c>
      <c r="B20" s="6" t="inlineStr">
        <is>
          <t>EBITDA, year 5</t>
        </is>
      </c>
      <c r="C20" s="10">
        <f>Annual!H46</f>
        <v/>
      </c>
      <c r="D20" s="2" t="inlineStr">
        <is>
          <t>RWF</t>
        </is>
      </c>
    </row>
    <row r="21">
      <c r="A21" s="2" t="inlineStr">
        <is>
          <t>MX_EBITDA10</t>
        </is>
      </c>
      <c r="B21" s="6" t="inlineStr">
        <is>
          <t>EBITDA, year 10</t>
        </is>
      </c>
      <c r="C21" s="10">
        <f>Annual!M46</f>
        <v/>
      </c>
      <c r="D21" s="2" t="inlineStr">
        <is>
          <t>RWF</t>
        </is>
      </c>
    </row>
    <row r="22">
      <c r="A22" s="2" t="inlineStr">
        <is>
          <t>MX_ROIC</t>
        </is>
      </c>
      <c r="B22" s="6" t="inlineStr">
        <is>
          <t>Return on invested capital, average Y6–Y10 (after tax)</t>
        </is>
      </c>
      <c r="C22" s="21">
        <f>IFERROR(AVERAGE(Annual!I48:M48)*(1-Assumptions!$H$8)/C8,"n/a")</f>
        <v/>
      </c>
      <c r="D22" s="2" t="inlineStr">
        <is>
          <t>share</t>
        </is>
      </c>
    </row>
    <row r="23">
      <c r="A23" s="2" t="inlineStr">
        <is>
          <t>MX_FSELF5</t>
        </is>
      </c>
      <c r="B23" s="6" t="inlineStr">
        <is>
          <t>Feed self-sufficiency, year 5</t>
        </is>
      </c>
      <c r="C23" s="26">
        <f>Annual!H71</f>
        <v/>
      </c>
      <c r="D23" s="2" t="inlineStr">
        <is>
          <t>share</t>
        </is>
      </c>
    </row>
    <row r="24">
      <c r="A24" s="2" t="inlineStr">
        <is>
          <t>MX_TIMBER</t>
        </is>
      </c>
      <c r="B24" s="6" t="inlineStr">
        <is>
          <t>Memo: standing boundary-timber value at Y10 (not in NPV)</t>
        </is>
      </c>
      <c r="C24" s="10">
        <f>Trees!$C$93</f>
        <v/>
      </c>
      <c r="D24" s="2" t="inlineStr">
        <is>
          <t>RWF</t>
        </is>
      </c>
    </row>
    <row r="26">
      <c r="A26" s="11" t="n"/>
      <c r="B26" s="12" t="inlineStr">
        <is>
          <t>Checks (all should read OK)</t>
        </is>
      </c>
      <c r="C26" s="11" t="n"/>
      <c r="D26" s="11" t="n"/>
    </row>
    <row r="27">
      <c r="B27" s="6" t="inlineStr">
        <is>
          <t>Land shares sum to 100%</t>
        </is>
      </c>
      <c r="C27" s="6">
        <f>IF(ABS(Land!$C$25-1)&lt;0.0001,"OK","CHECK")</f>
        <v/>
      </c>
    </row>
    <row r="28">
      <c r="B28" s="6" t="inlineStr">
        <is>
          <t>Orchard mix sums to 100%</t>
        </is>
      </c>
      <c r="C28" s="6">
        <f>IF(ABS(Land!$C$26-1)&lt;0.0001,"OK","CHECK")</f>
        <v/>
      </c>
    </row>
    <row r="29">
      <c r="B29" s="6" t="inlineStr">
        <is>
          <t>Monthly sales tie to annual revenue</t>
        </is>
      </c>
      <c r="C29" s="6">
        <f>IF(ABS(SUM(CashFlow!$D$21:$DS$21)-SUM(Annual!$D$18:$M$18))&lt;1,"OK","CHECK")</f>
        <v/>
      </c>
    </row>
    <row r="30">
      <c r="B30" s="6" t="inlineStr">
        <is>
          <t>Monthly net cash ties to annual net cash</t>
        </is>
      </c>
      <c r="C30" s="6">
        <f>IF(ABS(SUM(CashFlow!$D$57:$DS$57)-SUM(Annual!$D$58:$M$58))&lt;1,"OK","CHECK")</f>
        <v/>
      </c>
    </row>
    <row r="31">
      <c r="B31" s="6" t="inlineStr">
        <is>
          <t>Monthly tax ties to annual tax</t>
        </is>
      </c>
      <c r="C31" s="6">
        <f>IF(ABS(SUM(CashFlow!$D$55:$DS$55)-SUM(Annual!$D$49:$M$49))&lt;1,"OK","CHECK")</f>
        <v/>
      </c>
    </row>
    <row r="32">
      <c r="B32" s="6" t="inlineStr">
        <is>
          <t>Herd never negative</t>
        </is>
      </c>
      <c r="C32" s="6">
        <f>IF(MIN(MIN(Livestock!$D$18:$DS$18),MIN(Livestock!$D$42:$DS$42))&gt;=-0.0001,"OK","CHECK")</f>
        <v/>
      </c>
    </row>
    <row r="33">
      <c r="B33" s="6" t="inlineStr">
        <is>
          <t>Harvest seasonality sums to 1 for every crop</t>
        </is>
      </c>
      <c r="C33" s="6">
        <f>IF(AND(ABS(Curves!$P$15-1)&lt;0.001,ABS(Curves!$P$16-1)&lt;0.001,ABS(Curves!$P$17-1)&lt;0.001,ABS(Curves!$P$18-1)&lt;0.001,ABS(Curves!$P$19-1)&lt;0.001,ABS(Curves!$P$20-1)&lt;0.001,ABS(Curves!$P$21-1)&lt;0.001),"OK","CHECK")</f>
        <v/>
      </c>
    </row>
    <row r="34">
      <c r="B34" s="6" t="inlineStr">
        <is>
          <t>Pasture growth averages 1</t>
        </is>
      </c>
      <c r="C34" s="6">
        <f>IF(ABS(Curves!$P$25-1)&lt;0.001,"OK","CHECK")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2026-10-19T07:18:14Z</dcterms:created>
  <dcterms:modified xsi:type="dcterms:W3CDTF">2026-10-19T07:18:14Z</dcterms:modified>
</cp:coreProperties>
</file>